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aeb2002a2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a6c5ef4bef4f9b"/>
    <x:sheet xmlns:r="http://schemas.openxmlformats.org/officeDocument/2006/relationships" name="Requirements" sheetId="2" r:id="R86be471f48784e67"/>
    <x:sheet xmlns:r="http://schemas.openxmlformats.org/officeDocument/2006/relationships" name="NFR" sheetId="3" r:id="R42e00bd333754b5e"/>
    <x:sheet xmlns:r="http://schemas.openxmlformats.org/officeDocument/2006/relationships" name="Roles" sheetId="4" r:id="Rb6b36895eb944196"/>
    <x:sheet xmlns:r="http://schemas.openxmlformats.org/officeDocument/2006/relationships" name="Open Questions" sheetId="5" r:id="R78f80088c5ca4698"/>
    <x:sheet xmlns:r="http://schemas.openxmlformats.org/officeDocument/2006/relationships" name="Issues" sheetId="6" r:id="R1c23b47f9e0040b0"/>
    <x:sheet xmlns:r="http://schemas.openxmlformats.org/officeDocument/2006/relationships" name="Development Plan" sheetId="7" r:id="Rc5ba9e090b6d4a5f"/>
    <x:sheet xmlns:r="http://schemas.openxmlformats.org/officeDocument/2006/relationships" name="Research Schedule" sheetId="8" r:id="R9d491755ace5439c"/>
    <x:sheet xmlns:r="http://schemas.openxmlformats.org/officeDocument/2006/relationships" name="Source Traceability" sheetId="9" r:id="R187aef728a36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56D"/>
      <x:name val="Carlito"/>
    </x:font>
    <x:font>
      <x:b/>
      <x:sz val="11"/>
      <x:color rgb="FFFFFFFF"/>
      <x:name val="Carlito"/>
    </x:font>
    <x:font>
      <x:b/>
      <x:sz val="11"/>
      <x:color rgb="FF174A5B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5A6B"/>
      </x:patternFill>
    </x:fill>
    <x:fill>
      <x:patternFill patternType="solid">
        <x:fgColor rgb="FF174A5B"/>
      </x:patternFill>
    </x:fill>
    <x:fill>
      <x:patternFill patternType="solid">
        <x:fgColor rgb="FFDDECEF"/>
      </x:patternFill>
    </x:fill>
    <x:fill>
      <x:patternFill patternType="solid">
        <x:fgColor rgb="FF8A6A1F"/>
      </x:patternFill>
    </x:fill>
    <x:fill>
      <x:patternFill patternType="solid">
        <x:fgColor rgb="FF8A3B35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 patternType="solid">
          <x:bgColor rgb="FFDFF1E1"/>
        </x:patternFill>
      </x:fill>
    </x:dxf>
    <x:dxf>
      <x:fill>
        <x:patternFill patternType="solid">
          <x:bgColor rgb="FFF6D7D4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DCE7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b95a6605342a6" /><Relationship Type="http://schemas.openxmlformats.org/officeDocument/2006/relationships/theme" Target="/xl/theme/theme1.xml" Id="R43597f0d9ac445fa" /><Relationship Type="http://schemas.openxmlformats.org/officeDocument/2006/relationships/sharedStrings" Target="/xl/sharedStrings.xml" Id="R08c79a478a3d4c19" /><Relationship Type="http://schemas.openxmlformats.org/officeDocument/2006/relationships/worksheet" Target="/xl/worksheets/sheet1.xml" Id="Re8a6c5ef4bef4f9b" /><Relationship Type="http://schemas.openxmlformats.org/officeDocument/2006/relationships/worksheet" Target="/xl/worksheets/sheet2.xml" Id="R86be471f48784e67" /><Relationship Type="http://schemas.openxmlformats.org/officeDocument/2006/relationships/worksheet" Target="/xl/worksheets/sheet3.xml" Id="R42e00bd333754b5e" /><Relationship Type="http://schemas.openxmlformats.org/officeDocument/2006/relationships/worksheet" Target="/xl/worksheets/sheet4.xml" Id="Rb6b36895eb944196" /><Relationship Type="http://schemas.openxmlformats.org/officeDocument/2006/relationships/worksheet" Target="/xl/worksheets/sheet5.xml" Id="R78f80088c5ca4698" /><Relationship Type="http://schemas.openxmlformats.org/officeDocument/2006/relationships/worksheet" Target="/xl/worksheets/sheet6.xml" Id="R1c23b47f9e0040b0" /><Relationship Type="http://schemas.openxmlformats.org/officeDocument/2006/relationships/worksheet" Target="/xl/worksheets/sheet7.xml" Id="Rc5ba9e090b6d4a5f" /><Relationship Type="http://schemas.openxmlformats.org/officeDocument/2006/relationships/worksheet" Target="/xl/worksheets/sheet8.xml" Id="R9d491755ace5439c" /><Relationship Type="http://schemas.openxmlformats.org/officeDocument/2006/relationships/worksheet" Target="/xl/worksheets/sheet9.xml" Id="R187aef728a364c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5bf25f24ee42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'Overview'!$D$5:$D$9</c:f>
              <c:strCache>
                <c:ptCount val="0"/>
              </c:strCache>
            </c:strRef>
          </c:cat>
          <c:val>
            <c:numRef>
              <c:f>'Overview'!$E$5:$E$9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5bf25f24ee42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K60" headerRowCount="1" totalsRowCount="0" totalsRowShown="0">
  <x:tableColumns count="11">
    <x:tableColumn id="1" name="ID"/>
    <x:tableColumn id="2" name="Module"/>
    <x:tableColumn id="3" name="Requirement"/>
    <x:tableColumn id="4" name="Basis"/>
    <x:tableColumn id="5" name="Proposal / Visual Reference"/>
    <x:tableColumn id="6" name="Priority"/>
    <x:tableColumn id="7" name="Status"/>
    <x:tableColumn id="8" name="Owner"/>
    <x:tableColumn id="9" name="Dependency"/>
    <x:tableColumn id="10" name="Acceptance / Verification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FRTable" displayName="NFRTable" ref="A1:H13" headerRowCount="1" totalsRowCount="0" totalsRowShown="0">
  <x:tableColumns count="8">
    <x:tableColumn id="1" name="ID"/>
    <x:tableColumn id="2" name="Category"/>
    <x:tableColumn id="3" name="Requirement"/>
    <x:tableColumn id="4" name="Basis"/>
    <x:tableColumn id="5" name="Priority"/>
    <x:tableColumn id="6" name="Status"/>
    <x:tableColumn id="7" name="Owner"/>
    <x:tableColumn id="8" name="Verific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sTable" displayName="RolesTable" ref="A1:E8" headerRowCount="1" totalsRowCount="0" totalsRowShown="0">
  <x:tableColumns count="5">
    <x:tableColumn id="1" name="Role"/>
    <x:tableColumn id="2" name="Basis"/>
    <x:tableColumn id="3" name="Scope / fungsi awal"/>
    <x:tableColumn id="4" name="Final Permission Matrix?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nQuestionsTable" displayName="OpenQuestionsTable" ref="A1:G23" headerRowCount="1" totalsRowCount="0" totalsRowShown="0">
  <x:tableColumns count="7">
    <x:tableColumn id="1" name="ID"/>
    <x:tableColumn id="2" name="Area"/>
    <x:tableColumn id="3" name="Question / Data Needed"/>
    <x:tableColumn id="4" name="Impact"/>
    <x:tableColumn id="5" name="Owner"/>
    <x:tableColumn id="6" name="Status"/>
    <x:tableColumn id="7" name="Resolution / 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suesTable" displayName="IssuesTable" ref="A1:F9" headerRowCount="1" totalsRowCount="0" totalsRowShown="0">
  <x:tableColumns count="6">
    <x:tableColumn id="1" name="Topic"/>
    <x:tableColumn id="2" name="Finding"/>
    <x:tableColumn id="3" name="Action / Clarification"/>
    <x:tableColumn id="4" name="Severity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elopmentPlanTable" displayName="DevelopmentPlanTable" ref="A1:H9" headerRowCount="1" totalsRowCount="0" totalsRowShown="0">
  <x:tableColumns count="8">
    <x:tableColumn id="1" name="Phase"/>
    <x:tableColumn id="2" name="Name"/>
    <x:tableColumn id="3" name="Timing"/>
    <x:tableColumn id="4" name="Deliverables"/>
    <x:tableColumn id="5" name="Dependency"/>
    <x:tableColumn id="6" name="Status"/>
    <x:tableColumn id="7" name="Owner"/>
    <x:tableColumn id="8" name="Target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ScheduleTable" displayName="ResearchScheduleTable" ref="A1:N11" headerRowCount="1" totalsRowCount="0" totalsRowShown="0">
  <x:tableColumns count="14">
    <x:tableColumn id="1" name="No"/>
    <x:tableColumn id="2" name="Activity"/>
    <x:tableColumn id="3" name="Month 1"/>
    <x:tableColumn id="4" name="Month 2"/>
    <x:tableColumn id="5" name="Month 3"/>
    <x:tableColumn id="6" name="Month 4"/>
    <x:tableColumn id="7" name="Month 5"/>
    <x:tableColumn id="8" name="Month 6"/>
    <x:tableColumn id="9" name="Month 7"/>
    <x:tableColumn id="10" name="Month 8"/>
    <x:tableColumn id="11" name="Month 9"/>
    <x:tableColumn id="12" name="Month 10"/>
    <x:tableColumn id="13" name="Month 11"/>
    <x:tableColumn id="14" name="Month 12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ceabilityTable" displayName="TraceabilityTable" ref="A1:E9" headerRowCount="1" totalsRowCount="0" totalsRowShown="0">
  <x:tableColumns count="5">
    <x:tableColumn id="1" name="Source / Page"/>
    <x:tableColumn id="2" name="Observed content"/>
    <x:tableColumn id="3" name="Software implication"/>
    <x:tableColumn id="4" name="Classification"/>
    <x:tableColumn id="5" name="Needs confirmation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0b4f2b3ae942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50323290bb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20c4958f444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b9ec93c2b4d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c807b3267345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2834d30093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fd27a39bcc44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a81461a5c946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ab40ab16354d7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4" max="4" width="20" hidden="0" customWidth="1"/>
    <x:col min="5" max="5" width="18" hidden="0" customWidth="1"/>
  </x:cols>
  <x:sheetData>
    <x:row r="1">
      <x:c r="A1" s="36" t="str">
        <x:v>ISHAS Development Checklist</x:v>
      </x:c>
      <x:c r="B1" s="36"/>
      <x:c r="C1" s="36"/>
      <x:c r="D1" s="36"/>
      <x:c r="E1" s="36"/>
      <x:c r="F1" s="36"/>
      <x:c r="G1" s="36"/>
      <x:c r="H1" s="36"/>
    </x:row>
    <x:row r="2">
      <x:c r="A2" s="37" t="str">
        <x:v>Baseline 1 Sep 2026 | Berdasarkan proposal + analisis visual + diskusi proyek</x:v>
      </x:c>
      <x:c r="B2" s="24"/>
      <x:c r="C2" s="24"/>
      <x:c r="D2" s="24"/>
      <x:c r="E2" s="24"/>
      <x:c r="F2" s="24"/>
      <x:c r="G2" s="24"/>
      <x:c r="H2" s="24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16" t="str">
        <x:v>Metric</x:v>
      </x:c>
      <x:c r="B4" s="16" t="str">
        <x:v>Value</x:v>
      </x:c>
      <x:c r="C4" s="24"/>
      <x:c r="D4" s="16" t="str">
        <x:v>Status</x:v>
      </x:c>
      <x:c r="E4" s="16" t="str">
        <x:v>Count</x:v>
      </x:c>
      <x:c r="F4" s="24"/>
      <x:c r="G4" s="24"/>
      <x:c r="H4" s="24"/>
    </x:row>
    <x:row r="5">
      <x:c r="A5" s="24" t="str">
        <x:v>Functional requirements</x:v>
      </x:c>
      <x:c r="B5" s="24" t="n">
        <x:f>COUNTA(Requirements!A2:A200)</x:f>
        <x:v>59</x:v>
      </x:c>
      <x:c r="C5" s="24"/>
      <x:c r="D5" s="24" t="str">
        <x:v>Not Started</x:v>
      </x:c>
      <x:c r="E5" s="24" t="n">
        <x:f>COUNTIF(Requirements!G2:G200,D5)</x:f>
        <x:v>59</x:v>
      </x:c>
      <x:c r="F5" s="24"/>
      <x:c r="G5" s="24"/>
      <x:c r="H5" s="24"/>
    </x:row>
    <x:row r="6">
      <x:c r="A6" s="24" t="str">
        <x:v>Must priority</x:v>
      </x:c>
      <x:c r="B6" s="24" t="n">
        <x:f>COUNTIF(Requirements!F2:F200,"Must")</x:f>
        <x:v>45</x:v>
      </x:c>
      <x:c r="C6" s="24"/>
      <x:c r="D6" s="24" t="str">
        <x:v>In Progress</x:v>
      </x:c>
      <x:c r="E6" s="24" t="n">
        <x:f>COUNTIF(Requirements!G2:G200,D6)</x:f>
        <x:v>0</x:v>
      </x:c>
      <x:c r="F6" s="24"/>
      <x:c r="G6" s="24"/>
      <x:c r="H6" s="24"/>
    </x:row>
    <x:row r="7">
      <x:c r="A7" s="24" t="str">
        <x:v>Open questions</x:v>
      </x:c>
      <x:c r="B7" s="24" t="n">
        <x:f>COUNTA('Open Questions'!A2:A100)</x:f>
        <x:v>22</x:v>
      </x:c>
      <x:c r="C7" s="24"/>
      <x:c r="D7" s="24" t="str">
        <x:v>Blocked</x:v>
      </x:c>
      <x:c r="E7" s="24" t="n">
        <x:f>COUNTIF(Requirements!G2:G200,D7)</x:f>
        <x:v>0</x:v>
      </x:c>
      <x:c r="F7" s="24"/>
      <x:c r="G7" s="24"/>
      <x:c r="H7" s="24"/>
    </x:row>
    <x:row r="8">
      <x:c r="A8" s="24" t="str">
        <x:v>Issues / inconsistencies</x:v>
      </x:c>
      <x:c r="B8" s="24" t="n">
        <x:f>COUNTA(Issues!A2:A100)</x:f>
        <x:v>8</x:v>
      </x:c>
      <x:c r="C8" s="24"/>
      <x:c r="D8" s="24" t="str">
        <x:v>Review</x:v>
      </x:c>
      <x:c r="E8" s="24" t="n">
        <x:f>COUNTIF(Requirements!G2:G200,D8)</x:f>
        <x:v>0</x:v>
      </x:c>
      <x:c r="F8" s="24"/>
      <x:c r="G8" s="24"/>
      <x:c r="H8" s="24"/>
    </x:row>
    <x:row r="9">
      <x:c r="A9" s="24" t="str">
        <x:v>Requirements done</x:v>
      </x:c>
      <x:c r="B9" s="24" t="n">
        <x:f>COUNTIF(Requirements!G2:G200,"Done")</x:f>
        <x:v>0</x:v>
      </x:c>
      <x:c r="C9" s="24"/>
      <x:c r="D9" s="24" t="str">
        <x:v>Done</x:v>
      </x:c>
      <x:c r="E9" s="24" t="n">
        <x:f>COUNTIF(Requirements!G2:G200,D9)</x:f>
        <x:v>0</x:v>
      </x:c>
      <x:c r="F9" s="24"/>
      <x:c r="G9" s="24"/>
      <x:c r="H9" s="24"/>
    </x:row>
    <x:row r="10">
      <x:c r="A10" s="24" t="str">
        <x:v>Progress</x:v>
      </x:c>
      <x:c r="B10" s="25" t="n">
        <x:f>IF(B5=0,0,B9/B5)</x:f>
        <x:v>0</x:v>
      </x:c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38" t="str">
        <x:v>Current working decisions</x:v>
      </x:c>
      <x:c r="B12" s="38"/>
      <x:c r="C12" s="38"/>
      <x:c r="D12" s="38" t="str">
        <x:v>Source labels</x:v>
      </x:c>
      <x:c r="E12" s="38"/>
      <x:c r="F12" s="38"/>
      <x:c r="G12" s="38"/>
      <x:c r="H12" s="38"/>
    </x:row>
    <x:row r="13">
      <x:c r="A13" s="34" t="str">
        <x:v>D-001</x:v>
      </x:c>
      <x:c r="B13" s="24" t="str">
        <x:v>Admin Sistem adalah role teknis rekomendasi, bukan role eksplisit proposal.</x:v>
      </x:c>
      <x:c r="C13" s="24"/>
      <x:c r="D13" s="24" t="str">
        <x:v>PROPOSAL</x:v>
      </x:c>
      <x:c r="E13" s="24" t="str">
        <x:v>Tertulis eksplisit pada proposal</x:v>
      </x:c>
      <x:c r="F13" s="24"/>
      <x:c r="G13" s="24"/>
      <x:c r="H13" s="24"/>
    </x:row>
    <x:row r="14">
      <x:c r="A14" s="34" t="str">
        <x:v>D-002</x:v>
      </x:c>
      <x:c r="B14" s="24" t="str">
        <x:v>Instrumen dibuat configurable dari database agar development dapat dimulai sebelum parameter ilmiah final.</x:v>
      </x:c>
      <x:c r="C14" s="24"/>
      <x:c r="D14" s="24" t="str">
        <x:v>VISUAL</x:v>
      </x:c>
      <x:c r="E14" s="24" t="str">
        <x:v>Dibaca dari diagram/tabel/mockup proposal</x:v>
      </x:c>
      <x:c r="F14" s="24"/>
      <x:c r="G14" s="24"/>
      <x:c r="H14" s="24"/>
    </x:row>
    <x:row r="15">
      <x:c r="A15" s="34" t="str">
        <x:v>D-003</x:v>
      </x:c>
      <x:c r="B15" s="24" t="str">
        <x:v>Draft dapat diedit; Published dikunci; perubahan ilmiah dilakukan melalui versi baru.</x:v>
      </x:c>
      <x:c r="C15" s="24"/>
      <x:c r="D15" s="24" t="str">
        <x:v>DISKUSI</x:v>
      </x:c>
      <x:c r="E15" s="24" t="str">
        <x:v>Kesepakatan dari percakapan proyek</x:v>
      </x:c>
      <x:c r="F15" s="24"/>
      <x:c r="G15" s="24"/>
      <x:c r="H15" s="24"/>
    </x:row>
    <x:row r="16">
      <x:c r="A16" s="34" t="str">
        <x:v>D-004</x:v>
      </x:c>
      <x:c r="B16" s="24" t="str">
        <x:v>Assessment historis harus tetap terikat pada versi instrumen/scoring yang digunakan.</x:v>
      </x:c>
      <x:c r="C16" s="24"/>
      <x:c r="D16" s="24" t="str">
        <x:v>REKOMENDASI</x:v>
      </x:c>
      <x:c r="E16" s="24" t="str">
        <x:v>Rancangan teknis yang disarankan</x:v>
      </x:c>
      <x:c r="F16" s="24"/>
      <x:c r="G16" s="24"/>
      <x:c r="H16" s="24"/>
    </x:row>
    <x:row r="17">
      <x:c r="A17" s="34" t="str">
        <x:v>D-005</x:v>
      </x:c>
      <x:c r="B17" s="24" t="str">
        <x:v>Scoring final tidak boleh menggunakan formula/bobot/threshold hasil tebakan atau angka mockup.</x:v>
      </x:c>
      <x:c r="C17" s="24"/>
      <x:c r="D17" s="24" t="str">
        <x:v>OPEN</x:v>
      </x:c>
      <x:c r="E17" s="24" t="str">
        <x:v>Belum final; harus dikonfirmasi</x:v>
      </x:c>
      <x:c r="F17" s="24"/>
      <x:c r="G17" s="24"/>
      <x:c r="H17" s="24"/>
    </x:row>
    <x:row r="18">
      <x:c r="A18" s="34" t="str">
        <x:v>D-006</x:v>
      </x:c>
      <x:c r="B18" s="24" t="str">
        <x:v>AI/LLM bukan requirement 2026; current system dapat rule-based + analytical engine.</x:v>
      </x:c>
      <x:c r="C18" s="24"/>
      <x:c r="D18" s="24"/>
      <x:c r="E18" s="24"/>
      <x:c r="F18" s="24"/>
      <x:c r="G18" s="24"/>
      <x:c r="H18" s="24"/>
    </x:row>
    <x:row r="19">
      <x:c r="A19" s="34" t="str">
        <x:v>D-007</x:v>
      </x:c>
      <x:c r="B19" s="24" t="str">
        <x:v>Sensor/IoT bersifat opsional menurut visual proposal.</x:v>
      </x:c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</x:sheetData>
  <x:mergeCells>
    <x:mergeCell ref="A1:H1"/>
    <x:mergeCell ref="A2:H2"/>
    <x:mergeCell ref="A12:B12"/>
    <x:mergeCell ref="D12:E12"/>
  </x:mergeCells>
  <x:pageMargins left="0.7" right="0.7" top="0.75" bottom="0.75" header="0.3" footer="0.3"/>
  <x:drawing xmlns:r="http://schemas.openxmlformats.org/officeDocument/2006/relationships" r:id="Rab0b4f2b3ae9424a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42" hidden="0" customWidth="1"/>
    <x:col min="4" max="4" width="20" hidden="0" customWidth="1"/>
    <x:col min="5" max="5" width="38" hidden="0" customWidth="1"/>
    <x:col min="6" max="6" width="12" hidden="0" customWidth="1"/>
    <x:col min="7" max="7" width="15" hidden="0" customWidth="1"/>
    <x:col min="8" max="8" width="16" hidden="0" customWidth="1"/>
    <x:col min="9" max="9" width="24" hidden="0" customWidth="1"/>
    <x:col min="10" max="10" width="30" hidden="0" customWidth="1"/>
    <x:col min="11" max="11" width="24" hidden="0" customWidth="1"/>
  </x:cols>
  <x:sheetData>
    <x:row r="1" ht="28" customHeight="1">
      <x:c r="A1" s="16" t="str">
        <x:v>ID</x:v>
      </x:c>
      <x:c r="B1" s="16" t="str">
        <x:v>Module</x:v>
      </x:c>
      <x:c r="C1" s="16" t="str">
        <x:v>Requirement</x:v>
      </x:c>
      <x:c r="D1" s="16" t="str">
        <x:v>Basis</x:v>
      </x:c>
      <x:c r="E1" s="16" t="str">
        <x:v>Proposal / Visual Reference</x:v>
      </x:c>
      <x:c r="F1" s="16" t="str">
        <x:v>Priority</x:v>
      </x:c>
      <x:c r="G1" s="16" t="str">
        <x:v>Status</x:v>
      </x:c>
      <x:c r="H1" s="16" t="str">
        <x:v>Owner</x:v>
      </x:c>
      <x:c r="I1" s="16" t="str">
        <x:v>Dependency</x:v>
      </x:c>
      <x:c r="J1" s="16" t="str">
        <x:v>Acceptance / Verification</x:v>
      </x:c>
      <x:c r="K1" s="16" t="str">
        <x:v>Notes</x:v>
      </x:c>
    </x:row>
    <x:row r="2">
      <x:c r="A2" s="24" t="str">
        <x:v>FR-AUTH-001</x:v>
      </x:c>
      <x:c r="B2" s="24" t="str">
        <x:v>Authentication</x:v>
      </x:c>
      <x:c r="C2" s="24" t="str">
        <x:v>Sistem menyediakan autentikasi pengguna.</x:v>
      </x:c>
      <x:c r="D2" s="24" t="str">
        <x:v>VISUAL</x:v>
      </x:c>
      <x:c r="E2" s="24" t="str">
        <x:v>Gambar konsep sistem, bagian Keamanan Sistem: Autentikasi &amp; Autorisasi</x:v>
      </x:c>
      <x:c r="F2" s="24" t="str">
        <x:v>Must</x:v>
      </x:c>
      <x:c r="G2" s="24" t="str">
        <x:v>Not Started</x:v>
      </x:c>
      <x:c r="H2" s="24" t="str"/>
      <x:c r="I2" s="24" t="str"/>
      <x:c r="J2" s="24" t="str">
        <x:v>Implement + test + review traceability</x:v>
      </x:c>
      <x:c r="K2" s="24" t="str"/>
    </x:row>
    <x:row r="3">
      <x:c r="A3" s="24" t="str">
        <x:v>FR-AUTH-002</x:v>
      </x:c>
      <x:c r="B3" s="24" t="str">
        <x:v>Authorization</x:v>
      </x:c>
      <x:c r="C3" s="24" t="str">
        <x:v>Sistem menerapkan otorisasi berbasis role/permission.</x:v>
      </x:c>
      <x:c r="D3" s="24" t="str">
        <x:v>VISUAL</x:v>
      </x:c>
      <x:c r="E3" s="24" t="str">
        <x:v>Gambar konsep sistem, Keamanan Sistem</x:v>
      </x:c>
      <x:c r="F3" s="24" t="str">
        <x:v>Must</x:v>
      </x:c>
      <x:c r="G3" s="24" t="str">
        <x:v>Not Started</x:v>
      </x:c>
      <x:c r="H3" s="24" t="str"/>
      <x:c r="I3" s="24" t="str"/>
      <x:c r="J3" s="24" t="str">
        <x:v>Implement + test + review traceability</x:v>
      </x:c>
      <x:c r="K3" s="24" t="str"/>
    </x:row>
    <x:row r="4">
      <x:c r="A4" s="24" t="str">
        <x:v>FR-USR-001</x:v>
      </x:c>
      <x:c r="B4" s="24" t="str">
        <x:v>User Management</x:v>
      </x:c>
      <x:c r="C4" s="24" t="str">
        <x:v>Sistem menyediakan manajemen pengguna.</x:v>
      </x:c>
      <x:c r="D4" s="24" t="str">
        <x:v>VISUAL</x:v>
      </x:c>
      <x:c r="E4" s="24" t="str">
        <x:v>Gambar konsep sistem, Fitur Utama: Manajemen Pengguna</x:v>
      </x:c>
      <x:c r="F4" s="24" t="str">
        <x:v>Must</x:v>
      </x:c>
      <x:c r="G4" s="24" t="str">
        <x:v>Not Started</x:v>
      </x:c>
      <x:c r="H4" s="24" t="str"/>
      <x:c r="I4" s="24" t="str"/>
      <x:c r="J4" s="24" t="str">
        <x:v>Implement + test + review traceability</x:v>
      </x:c>
      <x:c r="K4" s="24" t="str"/>
    </x:row>
    <x:row r="5">
      <x:c r="A5" s="24" t="str">
        <x:v>FR-USR-002</x:v>
      </x:c>
      <x:c r="B5" s="24" t="str">
        <x:v>User Management</x:v>
      </x:c>
      <x:c r="C5" s="24" t="str">
        <x:v>Admin Sistem dapat membuat, mengubah, menonaktifkan akun dan menetapkan role.</x:v>
      </x:c>
      <x:c r="D5" s="24" t="str">
        <x:v>REKOMENDASI</x:v>
      </x:c>
      <x:c r="E5" s="24" t="str">
        <x:v>Keputusan teknis dari diskusi; role Admin belum ditetapkan proposal</x:v>
      </x:c>
      <x:c r="F5" s="24" t="str">
        <x:v>Should</x:v>
      </x:c>
      <x:c r="G5" s="24" t="str">
        <x:v>Not Started</x:v>
      </x:c>
      <x:c r="H5" s="24" t="str"/>
      <x:c r="I5" s="24" t="str"/>
      <x:c r="J5" s="24" t="str">
        <x:v>Implement + test + review traceability</x:v>
      </x:c>
      <x:c r="K5" s="24" t="str"/>
    </x:row>
    <x:row r="6">
      <x:c r="A6" s="24" t="str">
        <x:v>FR-USR-003</x:v>
      </x:c>
      <x:c r="B6" s="24" t="str">
        <x:v>Role Model</x:v>
      </x:c>
      <x:c r="C6" s="24" t="str">
        <x:v>Model hak akses harus mampu mengakomodasi asesor, pengelola pesantren, Tim K3/Satgas, pimpinan yayasan, pemerintah/Kemenag, dan peneliti/auditor.</x:v>
      </x:c>
      <x:c r="D6" s="24" t="str">
        <x:v>VISUAL</x:v>
      </x:c>
      <x:c r="E6" s="24" t="str">
        <x:v>Gambar konsep sistem, kolom Output &amp; Pengguna</x:v>
      </x:c>
      <x:c r="F6" s="24" t="str">
        <x:v>Must</x:v>
      </x:c>
      <x:c r="G6" s="24" t="str">
        <x:v>Not Started</x:v>
      </x:c>
      <x:c r="H6" s="24" t="str"/>
      <x:c r="I6" s="24" t="str"/>
      <x:c r="J6" s="24" t="str">
        <x:v>Implement + test + review traceability</x:v>
      </x:c>
      <x:c r="K6" s="24" t="str"/>
    </x:row>
    <x:row r="7">
      <x:c r="A7" s="24" t="str">
        <x:v>FR-ORG-001</x:v>
      </x:c>
      <x:c r="B7" s="24" t="str">
        <x:v>Pesantren</x:v>
      </x:c>
      <x:c r="C7" s="24" t="str">
        <x:v>Sistem menyimpan master data pesantren sebagai objek yang dinilai.</x:v>
      </x:c>
      <x:c r="D7" s="24" t="str">
        <x:v>PROPOSAL</x:v>
      </x:c>
      <x:c r="E7" s="24" t="str">
        <x:v>Tujuan sistem adalah penilaian K3L di pesantren</x:v>
      </x:c>
      <x:c r="F7" s="24" t="str">
        <x:v>Must</x:v>
      </x:c>
      <x:c r="G7" s="24" t="str">
        <x:v>Not Started</x:v>
      </x:c>
      <x:c r="H7" s="24" t="str"/>
      <x:c r="I7" s="24" t="str"/>
      <x:c r="J7" s="24" t="str">
        <x:v>Implement + test + review traceability</x:v>
      </x:c>
      <x:c r="K7" s="24" t="str"/>
    </x:row>
    <x:row r="8">
      <x:c r="A8" s="24" t="str">
        <x:v>FR-ORG-002</x:v>
      </x:c>
      <x:c r="B8" s="24" t="str">
        <x:v>Pesantren</x:v>
      </x:c>
      <x:c r="C8" s="24" t="str">
        <x:v>Admin dapat menambah dan memperbarui profil pesantren tanpa mengubah hasil assessment historis.</x:v>
      </x:c>
      <x:c r="D8" s="24" t="str">
        <x:v>REKOMENDASI</x:v>
      </x:c>
      <x:c r="E8" s="24" t="str">
        <x:v>Kebutuhan operasional</x:v>
      </x:c>
      <x:c r="F8" s="24" t="str">
        <x:v>Should</x:v>
      </x:c>
      <x:c r="G8" s="24" t="str">
        <x:v>Not Started</x:v>
      </x:c>
      <x:c r="H8" s="24" t="str"/>
      <x:c r="I8" s="24" t="str"/>
      <x:c r="J8" s="24" t="str">
        <x:v>Implement + test + review traceability</x:v>
      </x:c>
      <x:c r="K8" s="24" t="str"/>
    </x:row>
    <x:row r="9">
      <x:c r="A9" s="24" t="str">
        <x:v>FR-INS-001</x:v>
      </x:c>
      <x:c r="B9" s="24" t="str">
        <x:v>Instrument</x:v>
      </x:c>
      <x:c r="C9" s="24" t="str">
        <x:v>Sistem menyimpan dimensi, indikator, dan struktur instrumen penilaian.</x:v>
      </x:c>
      <x:c r="D9" s="24" t="str">
        <x:v>PROPOSAL</x:v>
      </x:c>
      <x:c r="E9" s="24" t="str">
        <x:v>Integrasi SAT 1.0 dan SAM i-SAFE menjadi pedoman pengukuran</x:v>
      </x:c>
      <x:c r="F9" s="24" t="str">
        <x:v>Must</x:v>
      </x:c>
      <x:c r="G9" s="24" t="str">
        <x:v>Not Started</x:v>
      </x:c>
      <x:c r="H9" s="24" t="str"/>
      <x:c r="I9" s="24" t="str"/>
      <x:c r="J9" s="24" t="str">
        <x:v>Implement + test + review traceability</x:v>
      </x:c>
      <x:c r="K9" s="24" t="str"/>
    </x:row>
    <x:row r="10">
      <x:c r="A10" s="24" t="str">
        <x:v>FR-INS-002</x:v>
      </x:c>
      <x:c r="B10" s="24" t="str">
        <x:v>Instrument</x:v>
      </x:c>
      <x:c r="C10" s="24" t="str">
        <x:v>Struktur instrumen dibuat configurable dari data/database, bukan hard-coded.</x:v>
      </x:c>
      <x:c r="D10" s="24" t="str">
        <x:v>DISKUSI/REKOMENDASI</x:v>
      </x:c>
      <x:c r="E10" s="24" t="str">
        <x:v>Kesepakatan agar development dapat dimulai sebelum instrumen final</x:v>
      </x:c>
      <x:c r="F10" s="24" t="str">
        <x:v>Must</x:v>
      </x:c>
      <x:c r="G10" s="24" t="str">
        <x:v>Not Started</x:v>
      </x:c>
      <x:c r="H10" s="24" t="str"/>
      <x:c r="I10" s="24" t="str"/>
      <x:c r="J10" s="24" t="str">
        <x:v>Implement + test + review traceability</x:v>
      </x:c>
      <x:c r="K10" s="24" t="str"/>
    </x:row>
    <x:row r="11">
      <x:c r="A11" s="24" t="str">
        <x:v>FR-INS-003</x:v>
      </x:c>
      <x:c r="B11" s="24" t="str">
        <x:v>Instrument</x:v>
      </x:c>
      <x:c r="C11" s="24" t="str">
        <x:v>Admin dapat mengelola instrumen selama statusnya Draft.</x:v>
      </x:c>
      <x:c r="D11" s="24" t="str">
        <x:v>DISKUSI/REKOMENDASI</x:v>
      </x:c>
      <x:c r="E11" s="24" t="str">
        <x:v>Kesepakatan dashboard admin configurable</x:v>
      </x:c>
      <x:c r="F11" s="24" t="str">
        <x:v>Must</x:v>
      </x:c>
      <x:c r="G11" s="24" t="str">
        <x:v>Not Started</x:v>
      </x:c>
      <x:c r="H11" s="24" t="str"/>
      <x:c r="I11" s="24" t="str"/>
      <x:c r="J11" s="24" t="str">
        <x:v>Implement + test + review traceability</x:v>
      </x:c>
      <x:c r="K11" s="24" t="str"/>
    </x:row>
    <x:row r="12">
      <x:c r="A12" s="24" t="str">
        <x:v>FR-INS-004</x:v>
      </x:c>
      <x:c r="B12" s="24" t="str">
        <x:v>Instrument</x:v>
      </x:c>
      <x:c r="C12" s="24" t="str">
        <x:v>Instrumen Published dikunci dari perubahan langsung.</x:v>
      </x:c>
      <x:c r="D12" s="24" t="str">
        <x:v>DISKUSI/REKOMENDASI</x:v>
      </x:c>
      <x:c r="E12" s="24" t="str">
        <x:v>Menjaga integritas instrumen penelitian</x:v>
      </x:c>
      <x:c r="F12" s="24" t="str">
        <x:v>Must</x:v>
      </x:c>
      <x:c r="G12" s="24" t="str">
        <x:v>Not Started</x:v>
      </x:c>
      <x:c r="H12" s="24" t="str"/>
      <x:c r="I12" s="24" t="str"/>
      <x:c r="J12" s="24" t="str">
        <x:v>Implement + test + review traceability</x:v>
      </x:c>
      <x:c r="K12" s="24" t="str"/>
    </x:row>
    <x:row r="13">
      <x:c r="A13" s="24" t="str">
        <x:v>FR-INS-005</x:v>
      </x:c>
      <x:c r="B13" s="24" t="str">
        <x:v>Instrument</x:v>
      </x:c>
      <x:c r="C13" s="24" t="str">
        <x:v>Perubahan terhadap instrumen Published dilakukan melalui versi baru.</x:v>
      </x:c>
      <x:c r="D13" s="24" t="str">
        <x:v>DISKUSI/REKOMENDASI</x:v>
      </x:c>
      <x:c r="E13" s="24" t="str">
        <x:v>Instrument versioning</x:v>
      </x:c>
      <x:c r="F13" s="24" t="str">
        <x:v>Must</x:v>
      </x:c>
      <x:c r="G13" s="24" t="str">
        <x:v>Not Started</x:v>
      </x:c>
      <x:c r="H13" s="24" t="str"/>
      <x:c r="I13" s="24" t="str"/>
      <x:c r="J13" s="24" t="str">
        <x:v>Implement + test + review traceability</x:v>
      </x:c>
      <x:c r="K13" s="24" t="str"/>
    </x:row>
    <x:row r="14">
      <x:c r="A14" s="24" t="str">
        <x:v>FR-INS-006</x:v>
      </x:c>
      <x:c r="B14" s="24" t="str">
        <x:v>Instrument</x:v>
      </x:c>
      <x:c r="C14" s="24" t="str">
        <x:v>Assessment menyimpan referensi versi instrumen yang digunakan.</x:v>
      </x:c>
      <x:c r="D14" s="24" t="str">
        <x:v>REKOMENDASI</x:v>
      </x:c>
      <x:c r="E14" s="24" t="str">
        <x:v>Menjaga reproducibility hasil penelitian</x:v>
      </x:c>
      <x:c r="F14" s="24" t="str">
        <x:v>Must</x:v>
      </x:c>
      <x:c r="G14" s="24" t="str">
        <x:v>Not Started</x:v>
      </x:c>
      <x:c r="H14" s="24" t="str"/>
      <x:c r="I14" s="24" t="str"/>
      <x:c r="J14" s="24" t="str">
        <x:v>Implement + test + review traceability</x:v>
      </x:c>
      <x:c r="K14" s="24" t="str"/>
    </x:row>
    <x:row r="15">
      <x:c r="A15" s="24" t="str">
        <x:v>FR-INS-007</x:v>
      </x:c>
      <x:c r="B15" s="24" t="str">
        <x:v>Instrument</x:v>
      </x:c>
      <x:c r="C15" s="24" t="str">
        <x:v>Sistem mendukung konfigurasi jenis jawaban dan opsi jawaban per indikator.</x:v>
      </x:c>
      <x:c r="D15" s="24" t="str">
        <x:v>REKOMENDASI</x:v>
      </x:c>
      <x:c r="E15" s="24" t="str">
        <x:v>Detail jawaban belum disediakan proposal</x:v>
      </x:c>
      <x:c r="F15" s="24" t="str">
        <x:v>Must</x:v>
      </x:c>
      <x:c r="G15" s="24" t="str">
        <x:v>Not Started</x:v>
      </x:c>
      <x:c r="H15" s="24" t="str"/>
      <x:c r="I15" s="24" t="str"/>
      <x:c r="J15" s="24" t="str">
        <x:v>Implement + test + review traceability</x:v>
      </x:c>
      <x:c r="K15" s="24" t="str"/>
    </x:row>
    <x:row r="16">
      <x:c r="A16" s="24" t="str">
        <x:v>FR-INS-008</x:v>
      </x:c>
      <x:c r="B16" s="24" t="str">
        <x:v>Instrument</x:v>
      </x:c>
      <x:c r="C16" s="24" t="str">
        <x:v>Sistem mendukung konfigurasi bobot indikator/dimensi setelah parameter ilmiah ditetapkan.</x:v>
      </x:c>
      <x:c r="D16" s="24" t="str">
        <x:v>PROPOSAL/REKOMENDASI</x:v>
      </x:c>
      <x:c r="E16" s="24" t="str">
        <x:v>Tahap penyusunan ISHAS Index mencakup penentuan bobot indikator</x:v>
      </x:c>
      <x:c r="F16" s="24" t="str">
        <x:v>Must</x:v>
      </x:c>
      <x:c r="G16" s="24" t="str">
        <x:v>Not Started</x:v>
      </x:c>
      <x:c r="H16" s="24" t="str"/>
      <x:c r="I16" s="24" t="str"/>
      <x:c r="J16" s="24" t="str">
        <x:v>Implement + test + review traceability</x:v>
      </x:c>
      <x:c r="K16" s="24" t="str"/>
    </x:row>
    <x:row r="17">
      <x:c r="A17" s="24" t="str">
        <x:v>FR-INS-009</x:v>
      </x:c>
      <x:c r="B17" s="24" t="str">
        <x:v>Instrument</x:v>
      </x:c>
      <x:c r="C17" s="24" t="str">
        <x:v>Sistem mendukung konfigurasi kategori/threshold risiko setelah ditetapkan peneliti.</x:v>
      </x:c>
      <x:c r="D17" s="24" t="str">
        <x:v>PROPOSAL/REKOMENDASI</x:v>
      </x:c>
      <x:c r="E17" s="24" t="str">
        <x:v>Tahap klasifikasi tingkat K3L</x:v>
      </x:c>
      <x:c r="F17" s="24" t="str">
        <x:v>Must</x:v>
      </x:c>
      <x:c r="G17" s="24" t="str">
        <x:v>Not Started</x:v>
      </x:c>
      <x:c r="H17" s="24" t="str"/>
      <x:c r="I17" s="24" t="str"/>
      <x:c r="J17" s="24" t="str">
        <x:v>Implement + test + review traceability</x:v>
      </x:c>
      <x:c r="K17" s="24" t="str"/>
    </x:row>
    <x:row r="18">
      <x:c r="A18" s="24" t="str">
        <x:v>FR-INS-010</x:v>
      </x:c>
      <x:c r="B18" s="24" t="str">
        <x:v>Instrument</x:v>
      </x:c>
      <x:c r="C18" s="24" t="str">
        <x:v>Sistem mendukung recommendation rule yang dapat dikonfigurasi.</x:v>
      </x:c>
      <x:c r="D18" s="24" t="str">
        <x:v>PROPOSAL/REKOMENDASI</x:v>
      </x:c>
      <x:c r="E18" s="24" t="str">
        <x:v>Rekomendasi otomatis berdasarkan hasil indikator</x:v>
      </x:c>
      <x:c r="F18" s="24" t="str">
        <x:v>Must</x:v>
      </x:c>
      <x:c r="G18" s="24" t="str">
        <x:v>Not Started</x:v>
      </x:c>
      <x:c r="H18" s="24" t="str"/>
      <x:c r="I18" s="24" t="str"/>
      <x:c r="J18" s="24" t="str">
        <x:v>Implement + test + review traceability</x:v>
      </x:c>
      <x:c r="K18" s="24" t="str"/>
    </x:row>
    <x:row r="19">
      <x:c r="A19" s="24" t="str">
        <x:v>FR-INP-001</x:v>
      </x:c>
      <x:c r="B19" s="24" t="str">
        <x:v>Data Input</x:v>
      </x:c>
      <x:c r="C19" s="24" t="str">
        <x:v>Form digital terstandarisasi tersedia untuk input data penilaian.</x:v>
      </x:c>
      <x:c r="D19" s="24" t="str">
        <x:v>PROPOSAL</x:v>
      </x:c>
      <x:c r="E19" s="24" t="str">
        <x:v>Data dapat diinput oleh asesor atau pengelola pesantren melalui formulir digital terstandarisasi</x:v>
      </x:c>
      <x:c r="F19" s="24" t="str">
        <x:v>Must</x:v>
      </x:c>
      <x:c r="G19" s="24" t="str">
        <x:v>Not Started</x:v>
      </x:c>
      <x:c r="H19" s="24" t="str"/>
      <x:c r="I19" s="24" t="str"/>
      <x:c r="J19" s="24" t="str">
        <x:v>Implement + test + review traceability</x:v>
      </x:c>
      <x:c r="K19" s="24" t="str"/>
    </x:row>
    <x:row r="20">
      <x:c r="A20" s="24" t="str">
        <x:v>FR-INP-002</x:v>
      </x:c>
      <x:c r="B20" s="24" t="str">
        <x:v>Data Input</x:v>
      </x:c>
      <x:c r="C20" s="24" t="str">
        <x:v>Sistem mampu mencatat data survei/kuesioner.</x:v>
      </x:c>
      <x:c r="D20" s="24" t="str">
        <x:v>VISUAL</x:v>
      </x:c>
      <x:c r="E20" s="24" t="str">
        <x:v>Gambar konsep: Sumber Data - Survei &amp; Kuesioner</x:v>
      </x:c>
      <x:c r="F20" s="24" t="str">
        <x:v>Must</x:v>
      </x:c>
      <x:c r="G20" s="24" t="str">
        <x:v>Not Started</x:v>
      </x:c>
      <x:c r="H20" s="24" t="str"/>
      <x:c r="I20" s="24" t="str"/>
      <x:c r="J20" s="24" t="str">
        <x:v>Implement + test + review traceability</x:v>
      </x:c>
      <x:c r="K20" s="24" t="str"/>
    </x:row>
    <x:row r="21">
      <x:c r="A21" s="24" t="str">
        <x:v>FR-INP-003</x:v>
      </x:c>
      <x:c r="B21" s="24" t="str">
        <x:v>Data Input</x:v>
      </x:c>
      <x:c r="C21" s="24" t="str">
        <x:v>Sistem mampu mencatat observasi lapangan.</x:v>
      </x:c>
      <x:c r="D21" s="24" t="str">
        <x:v>VISUAL</x:v>
      </x:c>
      <x:c r="E21" s="24" t="str">
        <x:v>Gambar konsep: Sumber Data - Observasi Lapangan</x:v>
      </x:c>
      <x:c r="F21" s="24" t="str">
        <x:v>Must</x:v>
      </x:c>
      <x:c r="G21" s="24" t="str">
        <x:v>Not Started</x:v>
      </x:c>
      <x:c r="H21" s="24" t="str"/>
      <x:c r="I21" s="24" t="str"/>
      <x:c r="J21" s="24" t="str">
        <x:v>Implement + test + review traceability</x:v>
      </x:c>
      <x:c r="K21" s="24" t="str"/>
    </x:row>
    <x:row r="22">
      <x:c r="A22" s="24" t="str">
        <x:v>FR-INP-004</x:v>
      </x:c>
      <x:c r="B22" s="24" t="str">
        <x:v>Data Input</x:v>
      </x:c>
      <x:c r="C22" s="24" t="str">
        <x:v>Sistem mampu menyimpan dokumen/kebijakan sebagai data pendukung.</x:v>
      </x:c>
      <x:c r="D22" s="24" t="str">
        <x:v>VISUAL</x:v>
      </x:c>
      <x:c r="E22" s="24" t="str">
        <x:v>Gambar konsep: Sumber Data - Dokumen &amp; Kebijakan</x:v>
      </x:c>
      <x:c r="F22" s="24" t="str">
        <x:v>Should</x:v>
      </x:c>
      <x:c r="G22" s="24" t="str">
        <x:v>Not Started</x:v>
      </x:c>
      <x:c r="H22" s="24" t="str"/>
      <x:c r="I22" s="24" t="str"/>
      <x:c r="J22" s="24" t="str">
        <x:v>Implement + test + review traceability</x:v>
      </x:c>
      <x:c r="K22" s="24" t="str"/>
    </x:row>
    <x:row r="23">
      <x:c r="A23" s="24" t="str">
        <x:v>FR-INP-005</x:v>
      </x:c>
      <x:c r="B23" s="24" t="str">
        <x:v>Data Input</x:v>
      </x:c>
      <x:c r="C23" s="24" t="str">
        <x:v>Sistem mampu mencatat data insiden.</x:v>
      </x:c>
      <x:c r="D23" s="24" t="str">
        <x:v>VISUAL</x:v>
      </x:c>
      <x:c r="E23" s="24" t="str">
        <x:v>Gambar konsep: Sumber Data - Data Insiden</x:v>
      </x:c>
      <x:c r="F23" s="24" t="str">
        <x:v>Should</x:v>
      </x:c>
      <x:c r="G23" s="24" t="str">
        <x:v>Not Started</x:v>
      </x:c>
      <x:c r="H23" s="24" t="str"/>
      <x:c r="I23" s="24" t="str"/>
      <x:c r="J23" s="24" t="str">
        <x:v>Implement + test + review traceability</x:v>
      </x:c>
      <x:c r="K23" s="24" t="str"/>
    </x:row>
    <x:row r="24">
      <x:c r="A24" s="24" t="str">
        <x:v>FR-INP-006</x:v>
      </x:c>
      <x:c r="B24" s="24" t="str">
        <x:v>Data Input</x:v>
      </x:c>
      <x:c r="C24" s="24" t="str">
        <x:v>Dukungan sensor/IoT diperlakukan sebagai fitur opsional, bukan syarat MVP.</x:v>
      </x:c>
      <x:c r="D24" s="24" t="str">
        <x:v>VISUAL</x:v>
      </x:c>
      <x:c r="E24" s="24" t="str">
        <x:v>Gambar konsep menandai Sensor/IoT sebagai optional</x:v>
      </x:c>
      <x:c r="F24" s="24" t="str">
        <x:v>Could</x:v>
      </x:c>
      <x:c r="G24" s="24" t="str">
        <x:v>Not Started</x:v>
      </x:c>
      <x:c r="H24" s="24" t="str"/>
      <x:c r="I24" s="24" t="str"/>
      <x:c r="J24" s="24" t="str">
        <x:v>Implement + test + review traceability</x:v>
      </x:c>
      <x:c r="K24" s="24" t="str"/>
    </x:row>
    <x:row r="25">
      <x:c r="A25" s="24" t="str">
        <x:v>FR-INP-007</x:v>
      </x:c>
      <x:c r="B25" s="24" t="str">
        <x:v>Data Input</x:v>
      </x:c>
      <x:c r="C25" s="24" t="str">
        <x:v>Input manual tersedia melalui Web/Mobile.</x:v>
      </x:c>
      <x:c r="D25" s="24" t="str">
        <x:v>VISUAL</x:v>
      </x:c>
      <x:c r="E25" s="24" t="str">
        <x:v>Gambar konsep: Input Manual (Web/Mobile)</x:v>
      </x:c>
      <x:c r="F25" s="24" t="str">
        <x:v>Must</x:v>
      </x:c>
      <x:c r="G25" s="24" t="str">
        <x:v>Not Started</x:v>
      </x:c>
      <x:c r="H25" s="24" t="str"/>
      <x:c r="I25" s="24" t="str"/>
      <x:c r="J25" s="24" t="str">
        <x:v>Implement + test + review traceability</x:v>
      </x:c>
      <x:c r="K25" s="24" t="str"/>
    </x:row>
    <x:row r="26">
      <x:c r="A26" s="24" t="str">
        <x:v>FR-INP-008</x:v>
      </x:c>
      <x:c r="B26" s="24" t="str">
        <x:v>Data Input</x:v>
      </x:c>
      <x:c r="C26" s="24" t="str">
        <x:v>Sistem dapat dirancang untuk import Excel/CSV.</x:v>
      </x:c>
      <x:c r="D26" s="24" t="str">
        <x:v>VISUAL</x:v>
      </x:c>
      <x:c r="E26" s="24" t="str">
        <x:v>Gambar konsep: Import Data (Excel/CSV)</x:v>
      </x:c>
      <x:c r="F26" s="24" t="str">
        <x:v>Should</x:v>
      </x:c>
      <x:c r="G26" s="24" t="str">
        <x:v>Not Started</x:v>
      </x:c>
      <x:c r="H26" s="24" t="str"/>
      <x:c r="I26" s="24" t="str"/>
      <x:c r="J26" s="24" t="str">
        <x:v>Implement + test + review traceability</x:v>
      </x:c>
      <x:c r="K26" s="24" t="str"/>
    </x:row>
    <x:row r="27">
      <x:c r="A27" s="24" t="str">
        <x:v>FR-INP-009</x:v>
      </x:c>
      <x:c r="B27" s="24" t="str">
        <x:v>Data Input</x:v>
      </x:c>
      <x:c r="C27" s="24" t="str">
        <x:v>Sistem menyediakan jalur API/integrasi untuk kebutuhan pengembangan berikutnya.</x:v>
      </x:c>
      <x:c r="D27" s="24" t="str">
        <x:v>VISUAL</x:v>
      </x:c>
      <x:c r="E27" s="24" t="str">
        <x:v>Gambar konsep: API / Integrasi Sistem</x:v>
      </x:c>
      <x:c r="F27" s="24" t="str">
        <x:v>Could</x:v>
      </x:c>
      <x:c r="G27" s="24" t="str">
        <x:v>Not Started</x:v>
      </x:c>
      <x:c r="H27" s="24" t="str"/>
      <x:c r="I27" s="24" t="str"/>
      <x:c r="J27" s="24" t="str">
        <x:v>Implement + test + review traceability</x:v>
      </x:c>
      <x:c r="K27" s="24" t="str"/>
    </x:row>
    <x:row r="28">
      <x:c r="A28" s="24" t="str">
        <x:v>FR-ASMT-001</x:v>
      </x:c>
      <x:c r="B28" s="24" t="str">
        <x:v>Assessment</x:v>
      </x:c>
      <x:c r="C28" s="24" t="str">
        <x:v>Pengguna berwenang dapat membuat assessment baru untuk pesantren dan periode tertentu.</x:v>
      </x:c>
      <x:c r="D28" s="24" t="str">
        <x:v>REKOMENDASI</x:v>
      </x:c>
      <x:c r="E28" s="24" t="str">
        <x:v>Diturunkan dari kebutuhan monitoring berkala</x:v>
      </x:c>
      <x:c r="F28" s="24" t="str">
        <x:v>Must</x:v>
      </x:c>
      <x:c r="G28" s="24" t="str">
        <x:v>Not Started</x:v>
      </x:c>
      <x:c r="H28" s="24" t="str"/>
      <x:c r="I28" s="24" t="str"/>
      <x:c r="J28" s="24" t="str">
        <x:v>Implement + test + review traceability</x:v>
      </x:c>
      <x:c r="K28" s="24" t="str"/>
    </x:row>
    <x:row r="29">
      <x:c r="A29" s="24" t="str">
        <x:v>FR-ASMT-002</x:v>
      </x:c>
      <x:c r="B29" s="24" t="str">
        <x:v>Assessment</x:v>
      </x:c>
      <x:c r="C29" s="24" t="str">
        <x:v>Assessment Draft dapat disimpan sebelum selesai.</x:v>
      </x:c>
      <x:c r="D29" s="24" t="str">
        <x:v>REKOMENDASI</x:v>
      </x:c>
      <x:c r="E29" s="24" t="str">
        <x:v>Usability form panjang</x:v>
      </x:c>
      <x:c r="F29" s="24" t="str">
        <x:v>Should</x:v>
      </x:c>
      <x:c r="G29" s="24" t="str">
        <x:v>Not Started</x:v>
      </x:c>
      <x:c r="H29" s="24" t="str"/>
      <x:c r="I29" s="24" t="str"/>
      <x:c r="J29" s="24" t="str">
        <x:v>Implement + test + review traceability</x:v>
      </x:c>
      <x:c r="K29" s="24" t="str"/>
    </x:row>
    <x:row r="30">
      <x:c r="A30" s="24" t="str">
        <x:v>FR-ASMT-003</x:v>
      </x:c>
      <x:c r="B30" s="24" t="str">
        <x:v>Assessment</x:v>
      </x:c>
      <x:c r="C30" s="24" t="str">
        <x:v>Assessment yang sudah difinalisasi tidak boleh mengubah hasil historis tanpa mekanisme koreksi yang terlacak.</x:v>
      </x:c>
      <x:c r="D30" s="24" t="str">
        <x:v>DISKUSI/REKOMENDASI</x:v>
      </x:c>
      <x:c r="E30" s="24" t="str">
        <x:v>Integritas data penelitian</x:v>
      </x:c>
      <x:c r="F30" s="24" t="str">
        <x:v>Must</x:v>
      </x:c>
      <x:c r="G30" s="24" t="str">
        <x:v>Not Started</x:v>
      </x:c>
      <x:c r="H30" s="24" t="str"/>
      <x:c r="I30" s="24" t="str"/>
      <x:c r="J30" s="24" t="str">
        <x:v>Implement + test + review traceability</x:v>
      </x:c>
      <x:c r="K30" s="24" t="str"/>
    </x:row>
    <x:row r="31">
      <x:c r="A31" s="24" t="str">
        <x:v>FR-ASMT-004</x:v>
      </x:c>
      <x:c r="B31" s="24" t="str">
        <x:v>Assessment</x:v>
      </x:c>
      <x:c r="C31" s="24" t="str">
        <x:v>Sistem mendukung unggahan bukti seperti dokumen/gambar jika instrumen final membutuhkannya.</x:v>
      </x:c>
      <x:c r="D31" s="24" t="str">
        <x:v>VISUAL/OPEN</x:v>
      </x:c>
      <x:c r="E31" s="24" t="str">
        <x:v>Arsitektur menyebut file storage untuk dokumen &amp; gambar; kewajiban per indikator belum ditentukan</x:v>
      </x:c>
      <x:c r="F31" s="24" t="str">
        <x:v>Should</x:v>
      </x:c>
      <x:c r="G31" s="24" t="str">
        <x:v>Not Started</x:v>
      </x:c>
      <x:c r="H31" s="24" t="str"/>
      <x:c r="I31" s="24" t="str"/>
      <x:c r="J31" s="24" t="str">
        <x:v>Implement + test + review traceability</x:v>
      </x:c>
      <x:c r="K31" s="24" t="str"/>
    </x:row>
    <x:row r="32">
      <x:c r="A32" s="24" t="str">
        <x:v>FR-SCR-001</x:v>
      </x:c>
      <x:c r="B32" s="24" t="str">
        <x:v>Scoring</x:v>
      </x:c>
      <x:c r="C32" s="24" t="str">
        <x:v>Mesin pengolahan melakukan validasi data sebelum scoring.</x:v>
      </x:c>
      <x:c r="D32" s="24" t="str">
        <x:v>VISUAL</x:v>
      </x:c>
      <x:c r="E32" s="24" t="str">
        <x:v>Gambar konsep: Mesin Pengolahan Data - Validasi Data</x:v>
      </x:c>
      <x:c r="F32" s="24" t="str">
        <x:v>Must</x:v>
      </x:c>
      <x:c r="G32" s="24" t="str">
        <x:v>Not Started</x:v>
      </x:c>
      <x:c r="H32" s="24" t="str"/>
      <x:c r="I32" s="24" t="str"/>
      <x:c r="J32" s="24" t="str">
        <x:v>Implement + test + review traceability</x:v>
      </x:c>
      <x:c r="K32" s="24" t="str"/>
    </x:row>
    <x:row r="33">
      <x:c r="A33" s="24" t="str">
        <x:v>FR-SCR-002</x:v>
      </x:c>
      <x:c r="B33" s="24" t="str">
        <x:v>Scoring</x:v>
      </x:c>
      <x:c r="C33" s="24" t="str">
        <x:v>Sistem melakukan scoring indikator secara otomatis.</x:v>
      </x:c>
      <x:c r="D33" s="24" t="str">
        <x:v>VISUAL</x:v>
      </x:c>
      <x:c r="E33" s="24" t="str">
        <x:v>Mesin Pengolahan Data - Scoring Indikator</x:v>
      </x:c>
      <x:c r="F33" s="24" t="str">
        <x:v>Must</x:v>
      </x:c>
      <x:c r="G33" s="24" t="str">
        <x:v>Not Started</x:v>
      </x:c>
      <x:c r="H33" s="24" t="str"/>
      <x:c r="I33" s="24" t="str"/>
      <x:c r="J33" s="24" t="str">
        <x:v>Implement + test + review traceability</x:v>
      </x:c>
      <x:c r="K33" s="24" t="str"/>
    </x:row>
    <x:row r="34">
      <x:c r="A34" s="24" t="str">
        <x:v>FR-SCR-003</x:v>
      </x:c>
      <x:c r="B34" s="24" t="str">
        <x:v>Scoring</x:v>
      </x:c>
      <x:c r="C34" s="24" t="str">
        <x:v>Sistem menerapkan pembobotan sesuai konfigurasi ilmiah.</x:v>
      </x:c>
      <x:c r="D34" s="24" t="str">
        <x:v>PROPOSAL/VISUAL</x:v>
      </x:c>
      <x:c r="E34" s="24" t="str">
        <x:v>Penyusunan indeks dan mesin pengolahan data - Pembobotan</x:v>
      </x:c>
      <x:c r="F34" s="24" t="str">
        <x:v>Must</x:v>
      </x:c>
      <x:c r="G34" s="24" t="str">
        <x:v>Not Started</x:v>
      </x:c>
      <x:c r="H34" s="24" t="str"/>
      <x:c r="I34" s="24" t="str"/>
      <x:c r="J34" s="24" t="str">
        <x:v>Implement + test + review traceability</x:v>
      </x:c>
      <x:c r="K34" s="24" t="str"/>
    </x:row>
    <x:row r="35">
      <x:c r="A35" s="24" t="str">
        <x:v>FR-SCR-004</x:v>
      </x:c>
      <x:c r="B35" s="24" t="str">
        <x:v>Scoring</x:v>
      </x:c>
      <x:c r="C35" s="24" t="str">
        <x:v>Sistem menghitung skor setiap dimensi/aspek.</x:v>
      </x:c>
      <x:c r="D35" s="24" t="str">
        <x:v>PROPOSAL/VISUAL</x:v>
      </x:c>
      <x:c r="E35" s="24" t="str">
        <x:v>Dashboard menampilkan skor per dimensi/aspek</x:v>
      </x:c>
      <x:c r="F35" s="24" t="str">
        <x:v>Must</x:v>
      </x:c>
      <x:c r="G35" s="24" t="str">
        <x:v>Not Started</x:v>
      </x:c>
      <x:c r="H35" s="24" t="str"/>
      <x:c r="I35" s="24" t="str"/>
      <x:c r="J35" s="24" t="str">
        <x:v>Implement + test + review traceability</x:v>
      </x:c>
      <x:c r="K35" s="24" t="str"/>
    </x:row>
    <x:row r="36">
      <x:c r="A36" s="24" t="str">
        <x:v>FR-SCR-005</x:v>
      </x:c>
      <x:c r="B36" s="24" t="str">
        <x:v>Scoring</x:v>
      </x:c>
      <x:c r="C36" s="24" t="str">
        <x:v>Sistem menghitung indeks K3L terintegrasi/komposit.</x:v>
      </x:c>
      <x:c r="D36" s="24" t="str">
        <x:v>PROPOSAL/VISUAL</x:v>
      </x:c>
      <x:c r="E36" s="24" t="str">
        <x:v>Safety Assessment Index / ISHAS Index</x:v>
      </x:c>
      <x:c r="F36" s="24" t="str">
        <x:v>Must</x:v>
      </x:c>
      <x:c r="G36" s="24" t="str">
        <x:v>Not Started</x:v>
      </x:c>
      <x:c r="H36" s="24" t="str"/>
      <x:c r="I36" s="24" t="str"/>
      <x:c r="J36" s="24" t="str">
        <x:v>Implement + test + review traceability</x:v>
      </x:c>
      <x:c r="K36" s="24" t="str"/>
    </x:row>
    <x:row r="37">
      <x:c r="A37" s="24" t="str">
        <x:v>FR-SCR-006</x:v>
      </x:c>
      <x:c r="B37" s="24" t="str">
        <x:v>Scoring</x:v>
      </x:c>
      <x:c r="C37" s="24" t="str">
        <x:v>Sistem mengklasifikasikan risiko/tingkat K3L berdasarkan kategori yang ditetapkan.</x:v>
      </x:c>
      <x:c r="D37" s="24" t="str">
        <x:v>PROPOSAL/VISUAL</x:v>
      </x:c>
      <x:c r="E37" s="24" t="str">
        <x:v>Klasifikasi tingkat K3L / Klasifikasi Risiko</x:v>
      </x:c>
      <x:c r="F37" s="24" t="str">
        <x:v>Must</x:v>
      </x:c>
      <x:c r="G37" s="24" t="str">
        <x:v>Not Started</x:v>
      </x:c>
      <x:c r="H37" s="24" t="str"/>
      <x:c r="I37" s="24" t="str"/>
      <x:c r="J37" s="24" t="str">
        <x:v>Implement + test + review traceability</x:v>
      </x:c>
      <x:c r="K37" s="24" t="str"/>
    </x:row>
    <x:row r="38">
      <x:c r="A38" s="24" t="str">
        <x:v>FR-SCR-007</x:v>
      </x:c>
      <x:c r="B38" s="24" t="str">
        <x:v>Scoring</x:v>
      </x:c>
      <x:c r="C38" s="24" t="str">
        <x:v>Rumus, skala, bobot, reverse scoring, perlakuan missing value, dan threshold tidak boleh di-hard-code sebelum disahkan tim penelitian.</x:v>
      </x:c>
      <x:c r="D38" s="24" t="str">
        <x:v>DISKUSI/OPEN</x:v>
      </x:c>
      <x:c r="E38" s="24" t="str">
        <x:v>Proposal belum menyediakan parameter final</x:v>
      </x:c>
      <x:c r="F38" s="24" t="str">
        <x:v>Must</x:v>
      </x:c>
      <x:c r="G38" s="24" t="str">
        <x:v>Not Started</x:v>
      </x:c>
      <x:c r="H38" s="24" t="str"/>
      <x:c r="I38" s="24" t="str"/>
      <x:c r="J38" s="24" t="str">
        <x:v>Implement + test + review traceability</x:v>
      </x:c>
      <x:c r="K38" s="24" t="str"/>
    </x:row>
    <x:row r="39">
      <x:c r="A39" s="24" t="str">
        <x:v>FR-SCR-008</x:v>
      </x:c>
      <x:c r="B39" s="24" t="str">
        <x:v>Scoring</x:v>
      </x:c>
      <x:c r="C39" s="24" t="str">
        <x:v>Contoh nilai 78,5 dan skala 0-100 pada mockup hanya diperlakukan sebagai ilustrasi sampai dikonfirmasi.</x:v>
      </x:c>
      <x:c r="D39" s="24" t="str">
        <x:v>VISUAL/OPEN</x:v>
      </x:c>
      <x:c r="E39" s="24" t="str">
        <x:v>Gambar konsep dashboard menunjukkan 78,5; Kategori: BAIK; Skala 0-100</x:v>
      </x:c>
      <x:c r="F39" s="24" t="str">
        <x:v>Must</x:v>
      </x:c>
      <x:c r="G39" s="24" t="str">
        <x:v>Not Started</x:v>
      </x:c>
      <x:c r="H39" s="24" t="str"/>
      <x:c r="I39" s="24" t="str"/>
      <x:c r="J39" s="24" t="str">
        <x:v>Implement + test + review traceability</x:v>
      </x:c>
      <x:c r="K39" s="24" t="str"/>
    </x:row>
    <x:row r="40">
      <x:c r="A40" s="24" t="str">
        <x:v>FR-DSH-001</x:v>
      </x:c>
      <x:c r="B40" s="24" t="str">
        <x:v>Dashboard</x:v>
      </x:c>
      <x:c r="C40" s="24" t="str">
        <x:v>Dashboard menampilkan indeks K3L terintegrasi.</x:v>
      </x:c>
      <x:c r="D40" s="24" t="str">
        <x:v>VISUAL</x:v>
      </x:c>
      <x:c r="E40" s="24" t="str">
        <x:v>Gambar konsep dashboard</x:v>
      </x:c>
      <x:c r="F40" s="24" t="str">
        <x:v>Must</x:v>
      </x:c>
      <x:c r="G40" s="24" t="str">
        <x:v>Not Started</x:v>
      </x:c>
      <x:c r="H40" s="24" t="str"/>
      <x:c r="I40" s="24" t="str"/>
      <x:c r="J40" s="24" t="str">
        <x:v>Implement + test + review traceability</x:v>
      </x:c>
      <x:c r="K40" s="24" t="str"/>
    </x:row>
    <x:row r="41">
      <x:c r="A41" s="24" t="str">
        <x:v>FR-DSH-002</x:v>
      </x:c>
      <x:c r="B41" s="24" t="str">
        <x:v>Dashboard</x:v>
      </x:c>
      <x:c r="C41" s="24" t="str">
        <x:v>Dashboard menampilkan skor per dimensi/aspek.</x:v>
      </x:c>
      <x:c r="D41" s="24" t="str">
        <x:v>PROPOSAL/VISUAL</x:v>
      </x:c>
      <x:c r="E41" s="24" t="str">
        <x:v>Teks modul analitik dan mockup dashboard</x:v>
      </x:c>
      <x:c r="F41" s="24" t="str">
        <x:v>Must</x:v>
      </x:c>
      <x:c r="G41" s="24" t="str">
        <x:v>Not Started</x:v>
      </x:c>
      <x:c r="H41" s="24" t="str"/>
      <x:c r="I41" s="24" t="str"/>
      <x:c r="J41" s="24" t="str">
        <x:v>Implement + test + review traceability</x:v>
      </x:c>
      <x:c r="K41" s="24" t="str"/>
    </x:row>
    <x:row r="42">
      <x:c r="A42" s="24" t="str">
        <x:v>FR-DSH-003</x:v>
      </x:c>
      <x:c r="B42" s="24" t="str">
        <x:v>Dashboard</x:v>
      </x:c>
      <x:c r="C42" s="24" t="str">
        <x:v>Dashboard menampilkan tren hasil evaluasi dari waktu ke waktu.</x:v>
      </x:c>
      <x:c r="D42" s="24" t="str">
        <x:v>PROPOSAL/VISUAL</x:v>
      </x:c>
      <x:c r="E42" s="24" t="str">
        <x:v>Teks modul analitik dan panel Tren Indeks</x:v>
      </x:c>
      <x:c r="F42" s="24" t="str">
        <x:v>Must</x:v>
      </x:c>
      <x:c r="G42" s="24" t="str">
        <x:v>Not Started</x:v>
      </x:c>
      <x:c r="H42" s="24" t="str"/>
      <x:c r="I42" s="24" t="str"/>
      <x:c r="J42" s="24" t="str">
        <x:v>Implement + test + review traceability</x:v>
      </x:c>
      <x:c r="K42" s="24" t="str"/>
    </x:row>
    <x:row r="43">
      <x:c r="A43" s="24" t="str">
        <x:v>FR-DSH-004</x:v>
      </x:c>
      <x:c r="B43" s="24" t="str">
        <x:v>Dashboard</x:v>
      </x:c>
      <x:c r="C43" s="24" t="str">
        <x:v>Dashboard menampilkan distribusi risiko.</x:v>
      </x:c>
      <x:c r="D43" s="24" t="str">
        <x:v>VISUAL</x:v>
      </x:c>
      <x:c r="E43" s="24" t="str">
        <x:v>Panel Distribusi Risiko pada mockup</x:v>
      </x:c>
      <x:c r="F43" s="24" t="str">
        <x:v>Should</x:v>
      </x:c>
      <x:c r="G43" s="24" t="str">
        <x:v>Not Started</x:v>
      </x:c>
      <x:c r="H43" s="24" t="str"/>
      <x:c r="I43" s="24" t="str"/>
      <x:c r="J43" s="24" t="str">
        <x:v>Implement + test + review traceability</x:v>
      </x:c>
      <x:c r="K43" s="24" t="str"/>
    </x:row>
    <x:row r="44">
      <x:c r="A44" s="24" t="str">
        <x:v>FR-DSH-005</x:v>
      </x:c>
      <x:c r="B44" s="24" t="str">
        <x:v>Dashboard</x:v>
      </x:c>
      <x:c r="C44" s="24" t="str">
        <x:v>Dashboard menampilkan rekomendasi prioritas.</x:v>
      </x:c>
      <x:c r="D44" s="24" t="str">
        <x:v>VISUAL</x:v>
      </x:c>
      <x:c r="E44" s="24" t="str">
        <x:v>Panel Rekomendasi Prioritas</x:v>
      </x:c>
      <x:c r="F44" s="24" t="str">
        <x:v>Must</x:v>
      </x:c>
      <x:c r="G44" s="24" t="str">
        <x:v>Not Started</x:v>
      </x:c>
      <x:c r="H44" s="24" t="str"/>
      <x:c r="I44" s="24" t="str"/>
      <x:c r="J44" s="24" t="str">
        <x:v>Implement + test + review traceability</x:v>
      </x:c>
      <x:c r="K44" s="24" t="str"/>
    </x:row>
    <x:row r="45">
      <x:c r="A45" s="24" t="str">
        <x:v>FR-RISK-001</x:v>
      </x:c>
      <x:c r="B45" s="24" t="str">
        <x:v>Risk Mapping</x:v>
      </x:c>
      <x:c r="C45" s="24" t="str">
        <x:v>Sistem menyediakan visualisasi risk mapping.</x:v>
      </x:c>
      <x:c r="D45" s="24" t="str">
        <x:v>PROPOSAL</x:v>
      </x:c>
      <x:c r="E45" s="24" t="str">
        <x:v>Tujuan dan metode pengembangan ISHAS</x:v>
      </x:c>
      <x:c r="F45" s="24" t="str">
        <x:v>Must</x:v>
      </x:c>
      <x:c r="G45" s="24" t="str">
        <x:v>Not Started</x:v>
      </x:c>
      <x:c r="H45" s="24" t="str"/>
      <x:c r="I45" s="24" t="str"/>
      <x:c r="J45" s="24" t="str">
        <x:v>Implement + test + review traceability</x:v>
      </x:c>
      <x:c r="K45" s="24" t="str"/>
    </x:row>
    <x:row r="46">
      <x:c r="A46" s="24" t="str">
        <x:v>FR-RISK-002</x:v>
      </x:c>
      <x:c r="B46" s="24" t="str">
        <x:v>Risk Mapping</x:v>
      </x:c>
      <x:c r="C46" s="24" t="str">
        <x:v>Visual proposal mengarah pada pemetaan area/fasilitas dengan level risiko tinggi/sedang/rendah; mekanisme lokasi/floorplan/GIS harus dikonfirmasi.</x:v>
      </x:c>
      <x:c r="D46" s="24" t="str">
        <x:v>VISUAL/OPEN</x:v>
      </x:c>
      <x:c r="E46" s="24" t="str">
        <x:v>Panel Risk Map pada Gambar konsep</x:v>
      </x:c>
      <x:c r="F46" s="24" t="str">
        <x:v>Must</x:v>
      </x:c>
      <x:c r="G46" s="24" t="str">
        <x:v>Not Started</x:v>
      </x:c>
      <x:c r="H46" s="24" t="str"/>
      <x:c r="I46" s="24" t="str"/>
      <x:c r="J46" s="24" t="str">
        <x:v>Implement + test + review traceability</x:v>
      </x:c>
      <x:c r="K46" s="24" t="str"/>
    </x:row>
    <x:row r="47">
      <x:c r="A47" s="24" t="str">
        <x:v>FR-MON-001</x:v>
      </x:c>
      <x:c r="B47" s="24" t="str">
        <x:v>Monitoring</x:v>
      </x:c>
      <x:c r="C47" s="24" t="str">
        <x:v>Sistem menyimpan riwayat assessment untuk monitoring berkelanjutan.</x:v>
      </x:c>
      <x:c r="D47" s="24" t="str">
        <x:v>PROPOSAL</x:v>
      </x:c>
      <x:c r="E47" s="24" t="str">
        <x:v>Modul pelaporan dan monitoring</x:v>
      </x:c>
      <x:c r="F47" s="24" t="str">
        <x:v>Must</x:v>
      </x:c>
      <x:c r="G47" s="24" t="str">
        <x:v>Not Started</x:v>
      </x:c>
      <x:c r="H47" s="24" t="str"/>
      <x:c r="I47" s="24" t="str"/>
      <x:c r="J47" s="24" t="str">
        <x:v>Implement + test + review traceability</x:v>
      </x:c>
      <x:c r="K47" s="24" t="str"/>
    </x:row>
    <x:row r="48">
      <x:c r="A48" s="24" t="str">
        <x:v>FR-MON-002</x:v>
      </x:c>
      <x:c r="B48" s="24" t="str">
        <x:v>Monitoring</x:v>
      </x:c>
      <x:c r="C48" s="24" t="str">
        <x:v>Sistem menyediakan monitoring real-time sesuai kemampuan data yang tersedia.</x:v>
      </x:c>
      <x:c r="D48" s="24" t="str">
        <x:v>VISUAL/OPEN</x:v>
      </x:c>
      <x:c r="E48" s="24" t="str">
        <x:v>Fitur Utama: Monitoring Real-time; definisi real-time belum dirinci</x:v>
      </x:c>
      <x:c r="F48" s="24" t="str">
        <x:v>Should</x:v>
      </x:c>
      <x:c r="G48" s="24" t="str">
        <x:v>Not Started</x:v>
      </x:c>
      <x:c r="H48" s="24" t="str"/>
      <x:c r="I48" s="24" t="str"/>
      <x:c r="J48" s="24" t="str">
        <x:v>Implement + test + review traceability</x:v>
      </x:c>
      <x:c r="K48" s="24" t="str"/>
    </x:row>
    <x:row r="49">
      <x:c r="A49" s="24" t="str">
        <x:v>FR-NOT-001</x:v>
      </x:c>
      <x:c r="B49" s="24" t="str">
        <x:v>Notification</x:v>
      </x:c>
      <x:c r="C49" s="24" t="str">
        <x:v>Sistem mendukung notifikasi/peringatan.</x:v>
      </x:c>
      <x:c r="D49" s="24" t="str">
        <x:v>VISUAL</x:v>
      </x:c>
      <x:c r="E49" s="24" t="str">
        <x:v>Fitur Utama serta Output: Notifikasi Peringatan</x:v>
      </x:c>
      <x:c r="F49" s="24" t="str">
        <x:v>Should</x:v>
      </x:c>
      <x:c r="G49" s="24" t="str">
        <x:v>Not Started</x:v>
      </x:c>
      <x:c r="H49" s="24" t="str"/>
      <x:c r="I49" s="24" t="str"/>
      <x:c r="J49" s="24" t="str">
        <x:v>Implement + test + review traceability</x:v>
      </x:c>
      <x:c r="K49" s="24" t="str"/>
    </x:row>
    <x:row r="50">
      <x:c r="A50" s="24" t="str">
        <x:v>FR-REC-001</x:v>
      </x:c>
      <x:c r="B50" s="24" t="str">
        <x:v>Recommendation</x:v>
      </x:c>
      <x:c r="C50" s="24" t="str">
        <x:v>Sistem menghasilkan rekomendasi otomatis berdasarkan hasil penilaian indikator.</x:v>
      </x:c>
      <x:c r="D50" s="24" t="str">
        <x:v>PROPOSAL</x:v>
      </x:c>
      <x:c r="E50" s="24" t="str">
        <x:v>Modul rekomendasi perbaikan</x:v>
      </x:c>
      <x:c r="F50" s="24" t="str">
        <x:v>Must</x:v>
      </x:c>
      <x:c r="G50" s="24" t="str">
        <x:v>Not Started</x:v>
      </x:c>
      <x:c r="H50" s="24" t="str"/>
      <x:c r="I50" s="24" t="str"/>
      <x:c r="J50" s="24" t="str">
        <x:v>Implement + test + review traceability</x:v>
      </x:c>
      <x:c r="K50" s="24" t="str"/>
    </x:row>
    <x:row r="51">
      <x:c r="A51" s="24" t="str">
        <x:v>FR-REC-002</x:v>
      </x:c>
      <x:c r="B51" s="24" t="str">
        <x:v>Recommendation</x:v>
      </x:c>
      <x:c r="C51" s="24" t="str">
        <x:v>Sistem memprioritaskan rekomendasi sesuai tingkat risiko.</x:v>
      </x:c>
      <x:c r="D51" s="24" t="str">
        <x:v>PROPOSAL</x:v>
      </x:c>
      <x:c r="E51" s="24" t="str">
        <x:v>Prioritas tindakan perbaikan sesuai tingkat risiko</x:v>
      </x:c>
      <x:c r="F51" s="24" t="str">
        <x:v>Must</x:v>
      </x:c>
      <x:c r="G51" s="24" t="str">
        <x:v>Not Started</x:v>
      </x:c>
      <x:c r="H51" s="24" t="str"/>
      <x:c r="I51" s="24" t="str"/>
      <x:c r="J51" s="24" t="str">
        <x:v>Implement + test + review traceability</x:v>
      </x:c>
      <x:c r="K51" s="24" t="str"/>
    </x:row>
    <x:row r="52">
      <x:c r="A52" s="24" t="str">
        <x:v>FR-FUP-001</x:v>
      </x:c>
      <x:c r="B52" s="24" t="str">
        <x:v>Follow-up</x:v>
      </x:c>
      <x:c r="C52" s="24" t="str">
        <x:v>Sistem mendukung manajemen tindak lanjut atas rekomendasi.</x:v>
      </x:c>
      <x:c r="D52" s="24" t="str">
        <x:v>VISUAL</x:v>
      </x:c>
      <x:c r="E52" s="24" t="str">
        <x:v>Fitur Utama: Manajemen Tindak Lanjut</x:v>
      </x:c>
      <x:c r="F52" s="24" t="str">
        <x:v>Should</x:v>
      </x:c>
      <x:c r="G52" s="24" t="str">
        <x:v>Not Started</x:v>
      </x:c>
      <x:c r="H52" s="24" t="str"/>
      <x:c r="I52" s="24" t="str"/>
      <x:c r="J52" s="24" t="str">
        <x:v>Implement + test + review traceability</x:v>
      </x:c>
      <x:c r="K52" s="24" t="str"/>
    </x:row>
    <x:row r="53">
      <x:c r="A53" s="24" t="str">
        <x:v>FR-RPT-001</x:v>
      </x:c>
      <x:c r="B53" s="24" t="str">
        <x:v>Reporting</x:v>
      </x:c>
      <x:c r="C53" s="24" t="str">
        <x:v>Sistem menghasilkan laporan evaluasi K3L.</x:v>
      </x:c>
      <x:c r="D53" s="24" t="str">
        <x:v>PROPOSAL/VISUAL</x:v>
      </x:c>
      <x:c r="E53" s="24" t="str">
        <x:v>Modul pelaporan; Output: Laporan Evaluasi K3L</x:v>
      </x:c>
      <x:c r="F53" s="24" t="str">
        <x:v>Must</x:v>
      </x:c>
      <x:c r="G53" s="24" t="str">
        <x:v>Not Started</x:v>
      </x:c>
      <x:c r="H53" s="24" t="str"/>
      <x:c r="I53" s="24" t="str"/>
      <x:c r="J53" s="24" t="str">
        <x:v>Implement + test + review traceability</x:v>
      </x:c>
      <x:c r="K53" s="24" t="str"/>
    </x:row>
    <x:row r="54">
      <x:c r="A54" s="24" t="str">
        <x:v>FR-RPT-002</x:v>
      </x:c>
      <x:c r="B54" s="24" t="str">
        <x:v>Reporting</x:v>
      </x:c>
      <x:c r="C54" s="24" t="str">
        <x:v>Sistem menyediakan unduh/ekspor laporan.</x:v>
      </x:c>
      <x:c r="D54" s="24" t="str">
        <x:v>VISUAL</x:v>
      </x:c>
      <x:c r="E54" s="24" t="str">
        <x:v>Fitur Utama: Laporan &amp; Unduh</x:v>
      </x:c>
      <x:c r="F54" s="24" t="str">
        <x:v>Must</x:v>
      </x:c>
      <x:c r="G54" s="24" t="str">
        <x:v>Not Started</x:v>
      </x:c>
      <x:c r="H54" s="24" t="str"/>
      <x:c r="I54" s="24" t="str"/>
      <x:c r="J54" s="24" t="str">
        <x:v>Implement + test + review traceability</x:v>
      </x:c>
      <x:c r="K54" s="24" t="str"/>
    </x:row>
    <x:row r="55">
      <x:c r="A55" s="24" t="str">
        <x:v>FR-RPT-003</x:v>
      </x:c>
      <x:c r="B55" s="24" t="str">
        <x:v>Reporting</x:v>
      </x:c>
      <x:c r="C55" s="24" t="str">
        <x:v>Sistem mendukung ekspor data ke PDF/Excel sesuai konsep visual.</x:v>
      </x:c>
      <x:c r="D55" s="24" t="str">
        <x:v>VISUAL</x:v>
      </x:c>
      <x:c r="E55" s="24" t="str">
        <x:v>Output: Ekspor Data (PDF/Excel)</x:v>
      </x:c>
      <x:c r="F55" s="24" t="str">
        <x:v>Should</x:v>
      </x:c>
      <x:c r="G55" s="24" t="str">
        <x:v>Not Started</x:v>
      </x:c>
      <x:c r="H55" s="24" t="str"/>
      <x:c r="I55" s="24" t="str"/>
      <x:c r="J55" s="24" t="str">
        <x:v>Implement + test + review traceability</x:v>
      </x:c>
      <x:c r="K55" s="24" t="str"/>
    </x:row>
    <x:row r="56">
      <x:c r="A56" s="24" t="str">
        <x:v>FR-AUD-001</x:v>
      </x:c>
      <x:c r="B56" s="24" t="str">
        <x:v>Audit</x:v>
      </x:c>
      <x:c r="C56" s="24" t="str">
        <x:v>Sistem mencatat audit trail untuk perubahan penting.</x:v>
      </x:c>
      <x:c r="D56" s="24" t="str">
        <x:v>VISUAL</x:v>
      </x:c>
      <x:c r="E56" s="24" t="str">
        <x:v>Keamanan Sistem: Audit Trail</x:v>
      </x:c>
      <x:c r="F56" s="24" t="str">
        <x:v>Must</x:v>
      </x:c>
      <x:c r="G56" s="24" t="str">
        <x:v>Not Started</x:v>
      </x:c>
      <x:c r="H56" s="24" t="str"/>
      <x:c r="I56" s="24" t="str"/>
      <x:c r="J56" s="24" t="str">
        <x:v>Implement + test + review traceability</x:v>
      </x:c>
      <x:c r="K56" s="24" t="str"/>
    </x:row>
    <x:row r="57">
      <x:c r="A57" s="24" t="str">
        <x:v>FR-AUD-002</x:v>
      </x:c>
      <x:c r="B57" s="24" t="str">
        <x:v>Audit</x:v>
      </x:c>
      <x:c r="C57" s="24" t="str">
        <x:v>Perubahan instrumen, konfigurasi scoring, role, dan koreksi assessment menyimpan siapa/kapan/alasan/perubahan lama-baru.</x:v>
      </x:c>
      <x:c r="D57" s="24" t="str">
        <x:v>DISKUSI/REKOMENDASI</x:v>
      </x:c>
      <x:c r="E57" s="24" t="str">
        <x:v>Integritas penelitian dan admin configurability</x:v>
      </x:c>
      <x:c r="F57" s="24" t="str">
        <x:v>Must</x:v>
      </x:c>
      <x:c r="G57" s="24" t="str">
        <x:v>Not Started</x:v>
      </x:c>
      <x:c r="H57" s="24" t="str"/>
      <x:c r="I57" s="24" t="str"/>
      <x:c r="J57" s="24" t="str">
        <x:v>Implement + test + review traceability</x:v>
      </x:c>
      <x:c r="K57" s="24" t="str"/>
    </x:row>
    <x:row r="58">
      <x:c r="A58" s="24" t="str">
        <x:v>FR-SEC-001</x:v>
      </x:c>
      <x:c r="B58" s="24" t="str">
        <x:v>Security</x:v>
      </x:c>
      <x:c r="C58" s="24" t="str">
        <x:v>Data sensitif dilindungi dengan enkripsi yang sesuai.</x:v>
      </x:c>
      <x:c r="D58" s="24" t="str">
        <x:v>VISUAL</x:v>
      </x:c>
      <x:c r="E58" s="24" t="str">
        <x:v>Keamanan Sistem: Enkripsi Data</x:v>
      </x:c>
      <x:c r="F58" s="24" t="str">
        <x:v>Must</x:v>
      </x:c>
      <x:c r="G58" s="24" t="str">
        <x:v>Not Started</x:v>
      </x:c>
      <x:c r="H58" s="24" t="str"/>
      <x:c r="I58" s="24" t="str"/>
      <x:c r="J58" s="24" t="str">
        <x:v>Implement + test + review traceability</x:v>
      </x:c>
      <x:c r="K58" s="24" t="str"/>
    </x:row>
    <x:row r="59">
      <x:c r="A59" s="24" t="str">
        <x:v>FR-SEC-002</x:v>
      </x:c>
      <x:c r="B59" s="24" t="str">
        <x:v>Security</x:v>
      </x:c>
      <x:c r="C59" s="24" t="str">
        <x:v>Sistem memiliki mekanisme backup dan recovery.</x:v>
      </x:c>
      <x:c r="D59" s="24" t="str">
        <x:v>VISUAL</x:v>
      </x:c>
      <x:c r="E59" s="24" t="str">
        <x:v>Keamanan Sistem: Backup &amp; Recovery</x:v>
      </x:c>
      <x:c r="F59" s="24" t="str">
        <x:v>Must</x:v>
      </x:c>
      <x:c r="G59" s="24" t="str">
        <x:v>Not Started</x:v>
      </x:c>
      <x:c r="H59" s="24" t="str"/>
      <x:c r="I59" s="24" t="str"/>
      <x:c r="J59" s="24" t="str">
        <x:v>Implement + test + review traceability</x:v>
      </x:c>
      <x:c r="K59" s="24" t="str"/>
    </x:row>
    <x:row r="60">
      <x:c r="A60" s="24" t="str">
        <x:v>FR-ARC-001</x:v>
      </x:c>
      <x:c r="B60" s="24" t="str">
        <x:v>Architecture</x:v>
      </x:c>
      <x:c r="C60" s="24" t="str">
        <x:v>Arsitektur mengakomodasi client Web/Mobile, application server/backend, relational database, file storage, dan analytical engine.</x:v>
      </x:c>
      <x:c r="D60" s="24" t="str">
        <x:v>VISUAL</x:v>
      </x:c>
      <x:c r="E60" s="24" t="str">
        <x:v>Bagian Arsitektur Sistem pada Gambar konsep</x:v>
      </x:c>
      <x:c r="F60" s="24" t="str">
        <x:v>Must</x:v>
      </x:c>
      <x:c r="G60" s="24" t="str">
        <x:v>Not Started</x:v>
      </x:c>
      <x:c r="H60" s="24" t="str"/>
      <x:c r="I60" s="24" t="str"/>
      <x:c r="J60" s="24" t="str">
        <x:v>Implement + test + review traceability</x:v>
      </x:c>
      <x:c r="K60" s="24" t="str"/>
    </x:row>
  </x:sheetData>
  <x:conditionalFormatting sqref="G2:G60">
    <x:cfRule type="expression" dxfId="0" priority="1">
      <x:formula>G2="Done"</x:formula>
    </x:cfRule>
    <x:cfRule type="expression" dxfId="1" priority="2">
      <x:formula>G2="Blocked"</x:formula>
    </x:cfRule>
    <x:cfRule type="expression" dxfId="2" priority="3">
      <x:formula>G2="In Progress"</x:formula>
    </x:cfRule>
    <x:cfRule type="expression" dxfId="3" priority="4">
      <x:formula>G2="Review"</x:formula>
    </x:cfRule>
  </x:conditionalFormatting>
  <x:dataValidations count="2">
    <x:dataValidation type="list" sqref="F2:F60">
      <x:formula1>"Must,Should,Could"</x:formula1>
    </x:dataValidation>
    <x:dataValidation type="list" sqref="G2:G60">
      <x:formula1>"Not Started,In 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0323290bb48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8" hidden="0" customWidth="1"/>
    <x:col min="4" max="4" width="24" hidden="0" customWidth="1"/>
    <x:col min="5" max="5" width="12" hidden="0" customWidth="1"/>
    <x:col min="6" max="6" width="15" hidden="0" customWidth="1"/>
    <x:col min="7" max="7" width="16" hidden="0" customWidth="1"/>
    <x:col min="8" max="8" width="30" hidden="0" customWidth="1"/>
  </x:cols>
  <x:sheetData>
    <x:row r="1" ht="28" customHeight="1">
      <x:c r="A1" s="16" t="str">
        <x:v>ID</x:v>
      </x:c>
      <x:c r="B1" s="16" t="str">
        <x:v>Category</x:v>
      </x:c>
      <x:c r="C1" s="16" t="str">
        <x:v>Requirement</x:v>
      </x:c>
      <x:c r="D1" s="16" t="str">
        <x:v>Basis</x:v>
      </x:c>
      <x:c r="E1" s="16" t="str">
        <x:v>Priority</x:v>
      </x:c>
      <x:c r="F1" s="16" t="str">
        <x:v>Status</x:v>
      </x:c>
      <x:c r="G1" s="16" t="str">
        <x:v>Owner</x:v>
      </x:c>
      <x:c r="H1" s="16" t="str">
        <x:v>Verification Notes</x:v>
      </x:c>
    </x:row>
    <x:row r="2">
      <x:c r="A2" s="24" t="str">
        <x:v>NFR-001</x:v>
      </x:c>
      <x:c r="B2" s="24" t="str">
        <x:v>Traceability</x:v>
      </x:c>
      <x:c r="C2" s="24" t="str">
        <x:v>Setiap hasil assessment harus dapat ditelusuri ke versi instrumen dan konfigurasi scoring yang digunakan.</x:v>
      </x:c>
      <x:c r="D2" s="24" t="str">
        <x:v>REKOMENDASI</x:v>
      </x:c>
      <x:c r="E2" s="24" t="str">
        <x:v>Must</x:v>
      </x:c>
      <x:c r="F2" s="24" t="str">
        <x:v>Not Started</x:v>
      </x:c>
      <x:c r="G2" s="24" t="str"/>
      <x:c r="H2" s="24" t="str"/>
    </x:row>
    <x:row r="3">
      <x:c r="A3" s="24" t="str">
        <x:v>NFR-002</x:v>
      </x:c>
      <x:c r="B3" s="24" t="str">
        <x:v>Integrity</x:v>
      </x:c>
      <x:c r="C3" s="24" t="str">
        <x:v>Perubahan pada konfigurasi ilmiah yang sudah published tidak boleh mengubah hasil historis secara diam-diam.</x:v>
      </x:c>
      <x:c r="D3" s="24" t="str">
        <x:v>REKOMENDASI</x:v>
      </x:c>
      <x:c r="E3" s="24" t="str">
        <x:v>Must</x:v>
      </x:c>
      <x:c r="F3" s="24" t="str">
        <x:v>Not Started</x:v>
      </x:c>
      <x:c r="G3" s="24" t="str"/>
      <x:c r="H3" s="24" t="str"/>
    </x:row>
    <x:row r="4">
      <x:c r="A4" s="24" t="str">
        <x:v>NFR-003</x:v>
      </x:c>
      <x:c r="B4" s="24" t="str">
        <x:v>Security</x:v>
      </x:c>
      <x:c r="C4" s="24" t="str">
        <x:v>Prinsip least privilege diterapkan pada role dan permission.</x:v>
      </x:c>
      <x:c r="D4" s="24" t="str">
        <x:v>REKOMENDASI</x:v>
      </x:c>
      <x:c r="E4" s="24" t="str">
        <x:v>Must</x:v>
      </x:c>
      <x:c r="F4" s="24" t="str">
        <x:v>Not Started</x:v>
      </x:c>
      <x:c r="G4" s="24" t="str"/>
      <x:c r="H4" s="24" t="str"/>
    </x:row>
    <x:row r="5">
      <x:c r="A5" s="24" t="str">
        <x:v>NFR-004</x:v>
      </x:c>
      <x:c r="B5" s="24" t="str">
        <x:v>Auditability</x:v>
      </x:c>
      <x:c r="C5" s="24" t="str">
        <x:v>Aktivitas sensitif harus tercatat dan dapat ditinjau.</x:v>
      </x:c>
      <x:c r="D5" s="24" t="str">
        <x:v>VISUAL/REKOMENDASI</x:v>
      </x:c>
      <x:c r="E5" s="24" t="str">
        <x:v>Must</x:v>
      </x:c>
      <x:c r="F5" s="24" t="str">
        <x:v>Not Started</x:v>
      </x:c>
      <x:c r="G5" s="24" t="str"/>
      <x:c r="H5" s="24" t="str"/>
    </x:row>
    <x:row r="6">
      <x:c r="A6" s="24" t="str">
        <x:v>NFR-005</x:v>
      </x:c>
      <x:c r="B6" s="24" t="str">
        <x:v>Reliability</x:v>
      </x:c>
      <x:c r="C6" s="24" t="str">
        <x:v>Operasi scoring dan penyimpanan hasil harus deterministik untuk input dan versi konfigurasi yang sama.</x:v>
      </x:c>
      <x:c r="D6" s="24" t="str">
        <x:v>REKOMENDASI</x:v>
      </x:c>
      <x:c r="E6" s="24" t="str">
        <x:v>Must</x:v>
      </x:c>
      <x:c r="F6" s="24" t="str">
        <x:v>Not Started</x:v>
      </x:c>
      <x:c r="G6" s="24" t="str"/>
      <x:c r="H6" s="24" t="str"/>
    </x:row>
    <x:row r="7">
      <x:c r="A7" s="24" t="str">
        <x:v>NFR-006</x:v>
      </x:c>
      <x:c r="B7" s="24" t="str">
        <x:v>Recoverability</x:v>
      </x:c>
      <x:c r="C7" s="24" t="str">
        <x:v>Backup diuji dengan prosedur restore berkala.</x:v>
      </x:c>
      <x:c r="D7" s="24" t="str">
        <x:v>VISUAL/REKOMENDASI</x:v>
      </x:c>
      <x:c r="E7" s="24" t="str">
        <x:v>Should</x:v>
      </x:c>
      <x:c r="F7" s="24" t="str">
        <x:v>Not Started</x:v>
      </x:c>
      <x:c r="G7" s="24" t="str"/>
      <x:c r="H7" s="24" t="str"/>
    </x:row>
    <x:row r="8">
      <x:c r="A8" s="24" t="str">
        <x:v>NFR-007</x:v>
      </x:c>
      <x:c r="B8" s="24" t="str">
        <x:v>Usability</x:v>
      </x:c>
      <x:c r="C8" s="24" t="str">
        <x:v>Form assessment harus usable di perangkat web/mobile dan mendukung penyimpanan draft.</x:v>
      </x:c>
      <x:c r="D8" s="24" t="str">
        <x:v>VISUAL/REKOMENDASI</x:v>
      </x:c>
      <x:c r="E8" s="24" t="str">
        <x:v>Should</x:v>
      </x:c>
      <x:c r="F8" s="24" t="str">
        <x:v>Not Started</x:v>
      </x:c>
      <x:c r="G8" s="24" t="str"/>
      <x:c r="H8" s="24" t="str"/>
    </x:row>
    <x:row r="9">
      <x:c r="A9" s="24" t="str">
        <x:v>NFR-008</x:v>
      </x:c>
      <x:c r="B9" s="24" t="str">
        <x:v>Performance</x:v>
      </x:c>
      <x:c r="C9" s="24" t="str">
        <x:v>Dashboard dan hasil assessment harus responsif untuk penggunaan penelitian/pesantren; target numerik ditentukan setelah skala deployment diketahui.</x:v>
      </x:c>
      <x:c r="D9" s="24" t="str">
        <x:v>OPEN</x:v>
      </x:c>
      <x:c r="E9" s="24" t="str">
        <x:v>Should</x:v>
      </x:c>
      <x:c r="F9" s="24" t="str">
        <x:v>Not Started</x:v>
      </x:c>
      <x:c r="G9" s="24" t="str"/>
      <x:c r="H9" s="24" t="str"/>
    </x:row>
    <x:row r="10">
      <x:c r="A10" s="24" t="str">
        <x:v>NFR-009</x:v>
      </x:c>
      <x:c r="B10" s="24" t="str">
        <x:v>Maintainability</x:v>
      </x:c>
      <x:c r="C10" s="24" t="str">
        <x:v>Konfigurasi indikator, bobot, kategori, dan rekomendasi dipisahkan dari source code.</x:v>
      </x:c>
      <x:c r="D10" s="24" t="str">
        <x:v>DISKUSI/REKOMENDASI</x:v>
      </x:c>
      <x:c r="E10" s="24" t="str">
        <x:v>Must</x:v>
      </x:c>
      <x:c r="F10" s="24" t="str">
        <x:v>Not Started</x:v>
      </x:c>
      <x:c r="G10" s="24" t="str"/>
      <x:c r="H10" s="24" t="str"/>
    </x:row>
    <x:row r="11">
      <x:c r="A11" s="24" t="str">
        <x:v>NFR-010</x:v>
      </x:c>
      <x:c r="B11" s="24" t="str">
        <x:v>Portability</x:v>
      </x:c>
      <x:c r="C11" s="24" t="str">
        <x:v>Sistem sebaiknya dapat dideploy secara reproducible pada server penelitian; stack dan target hosting belum diputuskan.</x:v>
      </x:c>
      <x:c r="D11" s="24" t="str">
        <x:v>REKOMENDASI/OPEN</x:v>
      </x:c>
      <x:c r="E11" s="24" t="str">
        <x:v>Should</x:v>
      </x:c>
      <x:c r="F11" s="24" t="str">
        <x:v>Not Started</x:v>
      </x:c>
      <x:c r="G11" s="24" t="str"/>
      <x:c r="H11" s="24" t="str"/>
    </x:row>
    <x:row r="12">
      <x:c r="A12" s="24" t="str">
        <x:v>NFR-011</x:v>
      </x:c>
      <x:c r="B12" s="24" t="str">
        <x:v>Data Export</x:v>
      </x:c>
      <x:c r="C12" s="24" t="str">
        <x:v>Ekspor harus konsisten dengan data yang tampil dan menyertakan metadata versi instrumen.</x:v>
      </x:c>
      <x:c r="D12" s="24" t="str">
        <x:v>REKOMENDASI</x:v>
      </x:c>
      <x:c r="E12" s="24" t="str">
        <x:v>Should</x:v>
      </x:c>
      <x:c r="F12" s="24" t="str">
        <x:v>Not Started</x:v>
      </x:c>
      <x:c r="G12" s="24" t="str"/>
      <x:c r="H12" s="24" t="str"/>
    </x:row>
    <x:row r="13">
      <x:c r="A13" s="24" t="str">
        <x:v>NFR-012</x:v>
      </x:c>
      <x:c r="B13" s="24" t="str">
        <x:v>Observability</x:v>
      </x:c>
      <x:c r="C13" s="24" t="str">
        <x:v>Error penting, kegagalan import, dan kegagalan scoring perlu tercatat untuk troubleshooting.</x:v>
      </x:c>
      <x:c r="D13" s="24" t="str">
        <x:v>REKOMENDASI</x:v>
      </x:c>
      <x:c r="E13" s="24" t="str">
        <x:v>Should</x:v>
      </x:c>
      <x:c r="F13" s="24" t="str">
        <x:v>Not Started</x:v>
      </x:c>
      <x:c r="G13" s="24" t="str"/>
      <x:c r="H13" s="24" t="str"/>
    </x:row>
  </x:sheetData>
  <x:dataValidations count="2">
    <x:dataValidation type="list" sqref="E2:E13">
      <x:formula1>"Must,Should,Could"</x:formula1>
    </x:dataValidation>
    <x:dataValidation type="list" sqref="F2:F13">
      <x:formula1>"Not Started,In 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20c4958f444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2" hidden="0" customWidth="1"/>
    <x:col min="4" max="4" width="22" hidden="0" customWidth="1"/>
    <x:col min="5" max="5" width="30" hidden="0" customWidth="1"/>
  </x:cols>
  <x:sheetData>
    <x:row r="1" ht="28" customHeight="1">
      <x:c r="A1" s="16" t="str">
        <x:v>Role</x:v>
      </x:c>
      <x:c r="B1" s="16" t="str">
        <x:v>Basis</x:v>
      </x:c>
      <x:c r="C1" s="16" t="str">
        <x:v>Scope / fungsi awal</x:v>
      </x:c>
      <x:c r="D1" s="16" t="str">
        <x:v>Final Permission Matrix?</x:v>
      </x:c>
      <x:c r="E1" s="16" t="str">
        <x:v>Notes</x:v>
      </x:c>
    </x:row>
    <x:row r="2">
      <x:c r="A2" s="24" t="str">
        <x:v>Admin Sistem</x:v>
      </x:c>
      <x:c r="B2" s="24" t="str">
        <x:v>REKOMENDASI</x:v>
      </x:c>
      <x:c r="C2" s="24" t="str">
        <x:v>Mengelola konfigurasi teknis, akun, master data, instrumen draft, versi, audit, dan operasional sistem. Role ini tidak disebut eksplisit di proposal dan perlu disepakati tim.</x:v>
      </x:c>
      <x:c r="D2" s="24" t="str">
        <x:v>OPEN</x:v>
      </x:c>
      <x:c r="E2" s="24" t="str"/>
    </x:row>
    <x:row r="3">
      <x:c r="A3" s="24" t="str">
        <x:v>Asesor</x:v>
      </x:c>
      <x:c r="B3" s="24" t="str">
        <x:v>PROPOSAL</x:v>
      </x:c>
      <x:c r="C3" s="24" t="str">
        <x:v>Mengisi formulir digital penilaian K3L.</x:v>
      </x:c>
      <x:c r="D3" s="24" t="str">
        <x:v>OPEN</x:v>
      </x:c>
      <x:c r="E3" s="24" t="str"/>
    </x:row>
    <x:row r="4">
      <x:c r="A4" s="24" t="str">
        <x:v>Pengelola Pesantren</x:v>
      </x:c>
      <x:c r="B4" s="24" t="str">
        <x:v>PROPOSAL/VISUAL</x:v>
      </x:c>
      <x:c r="C4" s="24" t="str">
        <x:v>Mengisi data penilaian dan memonitor hasil/perkembangan K3L pesantren.</x:v>
      </x:c>
      <x:c r="D4" s="24" t="str">
        <x:v>OPEN</x:v>
      </x:c>
      <x:c r="E4" s="24" t="str"/>
    </x:row>
    <x:row r="5">
      <x:c r="A5" s="24" t="str">
        <x:v>Tim K3 / Satgas</x:v>
      </x:c>
      <x:c r="B5" s="24" t="str">
        <x:v>VISUAL</x:v>
      </x:c>
      <x:c r="C5" s="24" t="str">
        <x:v>Pengguna keluaran dashboard; terlibat dalam tindak lanjut keselamatan.</x:v>
      </x:c>
      <x:c r="D5" s="24" t="str">
        <x:v>OPEN</x:v>
      </x:c>
      <x:c r="E5" s="24" t="str"/>
    </x:row>
    <x:row r="6">
      <x:c r="A6" s="24" t="str">
        <x:v>Pimpinan Yayasan</x:v>
      </x:c>
      <x:c r="B6" s="24" t="str">
        <x:v>VISUAL</x:v>
      </x:c>
      <x:c r="C6" s="24" t="str">
        <x:v>Pengguna keluaran/monitoring tingkat manajemen.</x:v>
      </x:c>
      <x:c r="D6" s="24" t="str">
        <x:v>OPEN</x:v>
      </x:c>
      <x:c r="E6" s="24" t="str"/>
    </x:row>
    <x:row r="7">
      <x:c r="A7" s="24" t="str">
        <x:v>Pemerintah / Kemenag</x:v>
      </x:c>
      <x:c r="B7" s="24" t="str">
        <x:v>VISUAL</x:v>
      </x:c>
      <x:c r="C7" s="24" t="str">
        <x:v>Pemangku kepentingan eksternal yang dapat memanfaatkan keluaran sesuai hak akses.</x:v>
      </x:c>
      <x:c r="D7" s="24" t="str">
        <x:v>OPEN</x:v>
      </x:c>
      <x:c r="E7" s="24" t="str"/>
    </x:row>
    <x:row r="8">
      <x:c r="A8" s="24" t="str">
        <x:v>Peneliti / Auditor</x:v>
      </x:c>
      <x:c r="B8" s="24" t="str">
        <x:v>VISUAL</x:v>
      </x:c>
      <x:c r="C8" s="24" t="str">
        <x:v>Pengguna untuk analisis, audit, validasi, dan penelitian.</x:v>
      </x:c>
      <x:c r="D8" s="24" t="str">
        <x:v>OPEN</x:v>
      </x:c>
      <x:c r="E8" s="24" t="str"/>
    </x:row>
  </x:sheetData>
  <x:pageMargins left="0.7" right="0.7" top="0.75" bottom="0.75" header="0.3" footer="0.3"/>
  <x:tableParts count="1">
    <x:tablePart xmlns:r="http://schemas.openxmlformats.org/officeDocument/2006/relationships" r:id="R6a5b9ec93c2b4d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5" hidden="0" customWidth="1"/>
    <x:col min="4" max="4" width="22" hidden="0" customWidth="1"/>
    <x:col min="5" max="5" width="18" hidden="0" customWidth="1"/>
    <x:col min="6" max="6" width="22" hidden="0" customWidth="1"/>
    <x:col min="7" max="7" width="38" hidden="0" customWidth="1"/>
  </x:cols>
  <x:sheetData>
    <x:row r="1" ht="28" customHeight="1">
      <x:c r="A1" s="46" t="str">
        <x:v>ID</x:v>
      </x:c>
      <x:c r="B1" s="46" t="str">
        <x:v>Area</x:v>
      </x:c>
      <x:c r="C1" s="46" t="str">
        <x:v>Question / Data Needed</x:v>
      </x:c>
      <x:c r="D1" s="46" t="str">
        <x:v>Impact</x:v>
      </x:c>
      <x:c r="E1" s="46" t="str">
        <x:v>Owner</x:v>
      </x:c>
      <x:c r="F1" s="46" t="str">
        <x:v>Status</x:v>
      </x:c>
      <x:c r="G1" s="46" t="str">
        <x:v>Resolution / Decision</x:v>
      </x:c>
    </x:row>
    <x:row r="2">
      <x:c r="A2" s="24" t="str">
        <x:v>Q-001</x:v>
      </x:c>
      <x:c r="B2" s="24" t="str">
        <x:v>Instrumen</x:v>
      </x:c>
      <x:c r="C2" s="24" t="str">
        <x:v>Minta file SAT 1.0 lengkap: 4 dimensi, 43 indikator, pertanyaan, jawaban, dan aturan penilaian.</x:v>
      </x:c>
      <x:c r="D2" s="24" t="str">
        <x:v>Blocker scoring</x:v>
      </x:c>
      <x:c r="E2" s="24" t="str"/>
      <x:c r="F2" s="24" t="str">
        <x:v>Open</x:v>
      </x:c>
      <x:c r="G2" s="24" t="str"/>
    </x:row>
    <x:row r="3">
      <x:c r="A3" s="24" t="str">
        <x:v>Q-002</x:v>
      </x:c>
      <x:c r="B3" s="24" t="str">
        <x:v>Instrumen</x:v>
      </x:c>
      <x:c r="C3" s="24" t="str">
        <x:v>Minta file/model SAM i-SAFE lengkap yang menjadi bahan integrasi.</x:v>
      </x:c>
      <x:c r="D3" s="24" t="str">
        <x:v>Blocker scoring</x:v>
      </x:c>
      <x:c r="E3" s="24" t="str"/>
      <x:c r="F3" s="24" t="str">
        <x:v>Open</x:v>
      </x:c>
      <x:c r="G3" s="24" t="str"/>
    </x:row>
    <x:row r="4">
      <x:c r="A4" s="24" t="str">
        <x:v>Q-003</x:v>
      </x:c>
      <x:c r="B4" s="24" t="str">
        <x:v>Terminologi</x:v>
      </x:c>
      <x:c r="C4" s="24" t="str">
        <x:v>Nama final instrumen/sistem: SAT 2.0, Smart SAT, ISHAS, atau nomenklatur lain?</x:v>
      </x:c>
      <x:c r="D4" s="24" t="str">
        <x:v>High</x:v>
      </x:c>
      <x:c r="E4" s="24" t="str"/>
      <x:c r="F4" s="24" t="str">
        <x:v>Open</x:v>
      </x:c>
      <x:c r="G4" s="24" t="str"/>
    </x:row>
    <x:row r="5">
      <x:c r="A5" s="24" t="str">
        <x:v>Q-004</x:v>
      </x:c>
      <x:c r="B5" s="24" t="str">
        <x:v>Dimensi</x:v>
      </x:c>
      <x:c r="C5" s="24" t="str">
        <x:v>Apa dimensi final setelah integrasi dan validasi? Apakah tetap 4 dimensi atau struktur lain?</x:v>
      </x:c>
      <x:c r="D5" s="24" t="str">
        <x:v>Blocker form/scoring</x:v>
      </x:c>
      <x:c r="E5" s="24" t="str"/>
      <x:c r="F5" s="24" t="str">
        <x:v>Open</x:v>
      </x:c>
      <x:c r="G5" s="24" t="str"/>
    </x:row>
    <x:row r="6">
      <x:c r="A6" s="24" t="str">
        <x:v>Q-005</x:v>
      </x:c>
      <x:c r="B6" s="24" t="str">
        <x:v>Jawaban</x:v>
      </x:c>
      <x:c r="C6" s="24" t="str">
        <x:v>Jenis jawaban tiap indikator: Ya/Tidak, Likert, numerik, pilihan, bukti foto/dokumen, N/A?</x:v>
      </x:c>
      <x:c r="D6" s="24" t="str">
        <x:v>Blocker form</x:v>
      </x:c>
      <x:c r="E6" s="24" t="str"/>
      <x:c r="F6" s="24" t="str">
        <x:v>Open</x:v>
      </x:c>
      <x:c r="G6" s="24" t="str"/>
    </x:row>
    <x:row r="7">
      <x:c r="A7" s="24" t="str">
        <x:v>Q-006</x:v>
      </x:c>
      <x:c r="B7" s="24" t="str">
        <x:v>Scoring</x:v>
      </x:c>
      <x:c r="C7" s="24" t="str">
        <x:v>Bobot indikator dan bobot dimensi final?</x:v>
      </x:c>
      <x:c r="D7" s="24" t="str">
        <x:v>Blocker scoring</x:v>
      </x:c>
      <x:c r="E7" s="24" t="str"/>
      <x:c r="F7" s="24" t="str">
        <x:v>Open</x:v>
      </x:c>
      <x:c r="G7" s="24" t="str"/>
    </x:row>
    <x:row r="8">
      <x:c r="A8" s="24" t="str">
        <x:v>Q-007</x:v>
      </x:c>
      <x:c r="B8" s="24" t="str">
        <x:v>Scoring</x:v>
      </x:c>
      <x:c r="C8" s="24" t="str">
        <x:v>Formula normalisasi dan skor komposit/ISHAS Index final?</x:v>
      </x:c>
      <x:c r="D8" s="24" t="str">
        <x:v>Blocker scoring</x:v>
      </x:c>
      <x:c r="E8" s="24" t="str"/>
      <x:c r="F8" s="24" t="str">
        <x:v>Open</x:v>
      </x:c>
      <x:c r="G8" s="24" t="str"/>
    </x:row>
    <x:row r="9">
      <x:c r="A9" s="24" t="str">
        <x:v>Q-008</x:v>
      </x:c>
      <x:c r="B9" s="24" t="str">
        <x:v>Scoring</x:v>
      </x:c>
      <x:c r="C9" s="24" t="str">
        <x:v>Bagaimana perlakuan indikator N/A, data kosong, reverse scoring, atau nilai tidak valid?</x:v>
      </x:c>
      <x:c r="D9" s="24" t="str">
        <x:v>Blocker scoring</x:v>
      </x:c>
      <x:c r="E9" s="24" t="str"/>
      <x:c r="F9" s="24" t="str">
        <x:v>Open</x:v>
      </x:c>
      <x:c r="G9" s="24" t="str"/>
    </x:row>
    <x:row r="10">
      <x:c r="A10" s="24" t="str">
        <x:v>Q-009</x:v>
      </x:c>
      <x:c r="B10" s="24" t="str">
        <x:v>Risk</x:v>
      </x:c>
      <x:c r="C10" s="24" t="str">
        <x:v>Kategori risiko dan threshold final? Apakah skala 0-100 pada mockup benar atau hanya ilustrasi?</x:v>
      </x:c>
      <x:c r="D10" s="24" t="str">
        <x:v>Blocker classification</x:v>
      </x:c>
      <x:c r="E10" s="24" t="str"/>
      <x:c r="F10" s="24" t="str">
        <x:v>Open</x:v>
      </x:c>
      <x:c r="G10" s="24" t="str"/>
    </x:row>
    <x:row r="11">
      <x:c r="A11" s="24" t="str">
        <x:v>Q-010</x:v>
      </x:c>
      <x:c r="B11" s="24" t="str">
        <x:v>Recommendation</x:v>
      </x:c>
      <x:c r="C11" s="24" t="str">
        <x:v>Daftar recommendation rule dan prioritas tindakan resmi dari tim K3?</x:v>
      </x:c>
      <x:c r="D11" s="24" t="str">
        <x:v>Blocker recommendation</x:v>
      </x:c>
      <x:c r="E11" s="24" t="str"/>
      <x:c r="F11" s="24" t="str">
        <x:v>Open</x:v>
      </x:c>
      <x:c r="G11" s="24" t="str"/>
    </x:row>
    <x:row r="12">
      <x:c r="A12" s="24" t="str">
        <x:v>Q-011</x:v>
      </x:c>
      <x:c r="B12" s="24" t="str">
        <x:v>Risk Mapping</x:v>
      </x:c>
      <x:c r="C12" s="24" t="str">
        <x:v>Apakah risk mapping menggunakan denah/floorplan bangunan, lokasi area, GIS, atau heatmap indikator?</x:v>
      </x:c>
      <x:c r="D12" s="24" t="str">
        <x:v>High</x:v>
      </x:c>
      <x:c r="E12" s="24" t="str"/>
      <x:c r="F12" s="24" t="str">
        <x:v>Open</x:v>
      </x:c>
      <x:c r="G12" s="24" t="str"/>
    </x:row>
    <x:row r="13">
      <x:c r="A13" s="24" t="str">
        <x:v>Q-012</x:v>
      </x:c>
      <x:c r="B13" s="24" t="str">
        <x:v>Workflow</x:v>
      </x:c>
      <x:c r="C13" s="24" t="str">
        <x:v>Apakah assessment langsung final setelah submit atau perlu verifikasi/approval peneliti/Tim K3?</x:v>
      </x:c>
      <x:c r="D13" s="24" t="str">
        <x:v>High</x:v>
      </x:c>
      <x:c r="E13" s="24" t="str"/>
      <x:c r="F13" s="24" t="str">
        <x:v>Open</x:v>
      </x:c>
      <x:c r="G13" s="24" t="str"/>
    </x:row>
    <x:row r="14">
      <x:c r="A14" s="24" t="str">
        <x:v>Q-013</x:v>
      </x:c>
      <x:c r="B14" s="24" t="str">
        <x:v>Roles</x:v>
      </x:c>
      <x:c r="C14" s="24" t="str">
        <x:v>Hak akses final untuk semua pengguna pada mockup; apakah Admin Sistem disetujui sebagai role terpisah?</x:v>
      </x:c>
      <x:c r="D14" s="24" t="str">
        <x:v>High</x:v>
      </x:c>
      <x:c r="E14" s="24" t="str"/>
      <x:c r="F14" s="24" t="str">
        <x:v>Open</x:v>
      </x:c>
      <x:c r="G14" s="24" t="str"/>
    </x:row>
    <x:row r="15">
      <x:c r="A15" s="24" t="str">
        <x:v>Q-014</x:v>
      </x:c>
      <x:c r="B15" s="24" t="str">
        <x:v>Pesantren Data</x:v>
      </x:c>
      <x:c r="C15" s="24" t="str">
        <x:v>Field profil pesantren apa saja yang wajib disimpan?</x:v>
      </x:c>
      <x:c r="D15" s="24" t="str">
        <x:v>Medium</x:v>
      </x:c>
      <x:c r="E15" s="24" t="str"/>
      <x:c r="F15" s="24" t="str">
        <x:v>Open</x:v>
      </x:c>
      <x:c r="G15" s="24" t="str"/>
    </x:row>
    <x:row r="16">
      <x:c r="A16" s="24" t="str">
        <x:v>Q-015</x:v>
      </x:c>
      <x:c r="B16" s="24" t="str">
        <x:v>Evidence</x:v>
      </x:c>
      <x:c r="C16" s="24" t="str">
        <x:v>Apakah setiap indikator memerlukan evidence foto/dokumen atau hanya indikator tertentu?</x:v>
      </x:c>
      <x:c r="D16" s="24" t="str">
        <x:v>Medium</x:v>
      </x:c>
      <x:c r="E16" s="24" t="str"/>
      <x:c r="F16" s="24" t="str">
        <x:v>Open</x:v>
      </x:c>
      <x:c r="G16" s="24" t="str"/>
    </x:row>
    <x:row r="17">
      <x:c r="A17" s="24" t="str">
        <x:v>Q-016</x:v>
      </x:c>
      <x:c r="B17" s="24" t="str">
        <x:v>Import</x:v>
      </x:c>
      <x:c r="C17" s="24" t="str">
        <x:v>Format Excel/CSV yang harus didukung dan siapa yang boleh melakukan import?</x:v>
      </x:c>
      <x:c r="D17" s="24" t="str">
        <x:v>Medium</x:v>
      </x:c>
      <x:c r="E17" s="24" t="str"/>
      <x:c r="F17" s="24" t="str">
        <x:v>Open</x:v>
      </x:c>
      <x:c r="G17" s="24" t="str"/>
    </x:row>
    <x:row r="18">
      <x:c r="A18" s="24" t="str">
        <x:v>Q-017</x:v>
      </x:c>
      <x:c r="B18" s="24" t="str">
        <x:v>Integration</x:v>
      </x:c>
      <x:c r="C18" s="24" t="str">
        <x:v>API/integrasi sistem ditujukan ke sistem apa?</x:v>
      </x:c>
      <x:c r="D18" s="24" t="str">
        <x:v>Low / future</x:v>
      </x:c>
      <x:c r="E18" s="24" t="str"/>
      <x:c r="F18" s="24" t="str">
        <x:v>Open</x:v>
      </x:c>
      <x:c r="G18" s="24" t="str"/>
    </x:row>
    <x:row r="19">
      <x:c r="A19" s="24" t="str">
        <x:v>Q-018</x:v>
      </x:c>
      <x:c r="B19" s="24" t="str">
        <x:v>IoT</x:v>
      </x:c>
      <x:c r="C19" s="24" t="str">
        <x:v>Sensor/IoT apa yang mungkin digunakan? Visual menandainya opsional.</x:v>
      </x:c>
      <x:c r="D19" s="24" t="str">
        <x:v>Low / future</x:v>
      </x:c>
      <x:c r="E19" s="24" t="str"/>
      <x:c r="F19" s="24" t="str">
        <x:v>Open</x:v>
      </x:c>
      <x:c r="G19" s="24" t="str"/>
    </x:row>
    <x:row r="20">
      <x:c r="A20" s="24" t="str">
        <x:v>Q-019</x:v>
      </x:c>
      <x:c r="B20" s="24" t="str">
        <x:v>Realtime</x:v>
      </x:c>
      <x:c r="C20" s="24" t="str">
        <x:v>Apa definisi monitoring real-time pada konteks penelitian ini?</x:v>
      </x:c>
      <x:c r="D20" s="24" t="str">
        <x:v>Medium</x:v>
      </x:c>
      <x:c r="E20" s="24" t="str"/>
      <x:c r="F20" s="24" t="str">
        <x:v>Open</x:v>
      </x:c>
      <x:c r="G20" s="24" t="str"/>
    </x:row>
    <x:row r="21">
      <x:c r="A21" s="24" t="str">
        <x:v>Q-020</x:v>
      </x:c>
      <x:c r="B21" s="24" t="str">
        <x:v>Notifications</x:v>
      </x:c>
      <x:c r="C21" s="24" t="str">
        <x:v>Trigger dan kanal notifikasi/peringatan apa yang diperlukan?</x:v>
      </x:c>
      <x:c r="D21" s="24" t="str">
        <x:v>Medium</x:v>
      </x:c>
      <x:c r="E21" s="24" t="str"/>
      <x:c r="F21" s="24" t="str">
        <x:v>Open</x:v>
      </x:c>
      <x:c r="G21" s="24" t="str"/>
    </x:row>
    <x:row r="22">
      <x:c r="A22" s="24" t="str">
        <x:v>Q-021</x:v>
      </x:c>
      <x:c r="B22" s="24" t="str">
        <x:v>Standards</x:v>
      </x:c>
      <x:c r="C22" s="24" t="str">
        <x:v>Konfirmasi standar/regulasi pada Gambar konsep, termasuk Permenag No. 13/2014 dan SNI K3 yang dimaksud.</x:v>
      </x:c>
      <x:c r="D22" s="24" t="str">
        <x:v>Medium</x:v>
      </x:c>
      <x:c r="E22" s="24" t="str"/>
      <x:c r="F22" s="24" t="str">
        <x:v>Open</x:v>
      </x:c>
      <x:c r="G22" s="24" t="str"/>
    </x:row>
    <x:row r="23">
      <x:c r="A23" s="24" t="str">
        <x:v>Q-022</x:v>
      </x:c>
      <x:c r="B23" s="24" t="str">
        <x:v>TKT</x:v>
      </x:c>
      <x:c r="C23" s="24" t="str">
        <x:v>Konfirmasi target 2026: identitas proposal menyebut target TKT 7, sedangkan roadmap/metode menempatkan TKT 6 untuk 2026 dan TKT 7 untuk 2027.</x:v>
      </x:c>
      <x:c r="D23" s="24" t="str">
        <x:v>High</x:v>
      </x:c>
      <x:c r="E23" s="24" t="str"/>
      <x:c r="F23" s="24" t="str">
        <x:v>Open</x:v>
      </x:c>
      <x:c r="G23" s="24" t="str"/>
    </x:row>
  </x:sheetData>
  <x:dataValidations count="1">
    <x:dataValidation type="list" sqref="F2:F23">
      <x:formula1>"Open,Waiting Research Team,Resolved,Deferred"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807b3267345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8" hidden="0" customWidth="1"/>
    <x:col min="4" max="4" width="22" hidden="0" customWidth="1"/>
    <x:col min="5" max="5" width="20" hidden="0" customWidth="1"/>
    <x:col min="6" max="6" width="28" hidden="0" customWidth="1"/>
  </x:cols>
  <x:sheetData>
    <x:row r="1" ht="28" customHeight="1">
      <x:c r="A1" s="56" t="str">
        <x:v>Topic</x:v>
      </x:c>
      <x:c r="B1" s="56" t="str">
        <x:v>Finding</x:v>
      </x:c>
      <x:c r="C1" s="56" t="str">
        <x:v>Action / Clarification</x:v>
      </x:c>
      <x:c r="D1" s="56" t="str">
        <x:v>Severity</x:v>
      </x:c>
      <x:c r="E1" s="56" t="str">
        <x:v>Status</x:v>
      </x:c>
      <x:c r="F1" s="56" t="str">
        <x:v>Notes</x:v>
      </x:c>
    </x:row>
    <x:row r="2">
      <x:c r="A2" s="24" t="str">
        <x:v>Jumlah mahasiswa</x:v>
      </x:c>
      <x:c r="B2" s="24" t="str">
        <x:v>Daftar tim pada halaman awal menampilkan Farrel Ghozy Affifudin dan Alvi Dhiyau Qabil sebagai mahasiswa, sedangkan identitas proposal menyebut Mahasiswa/i: 1 / Sarjana: 1.</x:v>
      </x:c>
      <x:c r="C2" s="24" t="str">
        <x:v>Konfirmasi administrasi; tidak mengubah desain software secara langsung.</x:v>
      </x:c>
      <x:c r="D2" s="24" t="str">
        <x:v>Needs Confirmation</x:v>
      </x:c>
      <x:c r="E2" s="24" t="str">
        <x:v>Open</x:v>
      </x:c>
      <x:c r="F2" s="24" t="str"/>
    </x:row>
    <x:row r="3">
      <x:c r="A3" s="24" t="str">
        <x:v>Target TKT</x:v>
      </x:c>
      <x:c r="B3" s="24" t="str">
        <x:v>Identitas proposal menulis target TKT 7 (pengujian lingkungan nyata). Roadmap visual dan metode menyebut purwarupa tervalidasi TKT 6 untuk 2026 dan TKT 7 pada 2027.</x:v>
      </x:c>
      <x:c r="C3" s="24" t="str">
        <x:v>Gunakan TKT 6 sebagai target teknis 2026 hanya setelah dikonfirmasi ketua penelitian.</x:v>
      </x:c>
      <x:c r="D3" s="24" t="str">
        <x:v>Needs Confirmation</x:v>
      </x:c>
      <x:c r="E3" s="24" t="str">
        <x:v>Open</x:v>
      </x:c>
      <x:c r="F3" s="24" t="str"/>
    </x:row>
    <x:row r="4">
      <x:c r="A4" s="24" t="str">
        <x:v>Nama sistem</x:v>
      </x:c>
      <x:c r="B4" s="24" t="str">
        <x:v>Dokumen menggunakan Smart Safety Assessment Tool, Smart SAT, ISHAS, dan pada ringkasan terdapat IHSAS.</x:v>
      </x:c>
      <x:c r="C4" s="24" t="str">
        <x:v>Tentukan canonical product name untuk repository, database, domain, UI, dan publikasi.</x:v>
      </x:c>
      <x:c r="D4" s="24" t="str">
        <x:v>Needs Confirmation</x:v>
      </x:c>
      <x:c r="E4" s="24" t="str">
        <x:v>Open</x:v>
      </x:c>
      <x:c r="F4" s="24" t="str"/>
    </x:row>
    <x:row r="5">
      <x:c r="A5" s="24" t="str">
        <x:v>Nama model tahap integrasi</x:v>
      </x:c>
      <x:c r="B5" s="24" t="str">
        <x:v>Teks metode menyebut SAT 1.0 + SAM i-SAFE, sedangkan diagram visual tahap 1 menulis “Integrasi Model ISHAS 1.0 dan i-SAFE”.</x:v>
      </x:c>
      <x:c r="C5" s="24" t="str">
        <x:v>Kemungkinan inkonsistensi label pada diagram; jangan mengubah sumber, tetapi konfirmasi istilah yang benar.</x:v>
      </x:c>
      <x:c r="D5" s="24" t="str">
        <x:v>Needs Confirmation</x:v>
      </x:c>
      <x:c r="E5" s="24" t="str">
        <x:v>Open</x:v>
      </x:c>
      <x:c r="F5" s="24" t="str"/>
    </x:row>
    <x:row r="6">
      <x:c r="A6" s="24" t="str">
        <x:v>Dimensi/aspek</x:v>
      </x:c>
      <x:c r="B6" s="24" t="str">
        <x:v>SAT 1.0 dijelaskan mempunyai 4 dimensi, sementara deskripsi modul input menyebut keselamatan lingkungan &amp; bangunan, kesehatan lingkungan, perilaku keselamatan, budaya keselamatan, kesiapsiagaan darurat, dan indikator pendukung. Mockup skor per dimensi kembali menampilkan 4 dimensi SAT.</x:v>
      </x:c>
      <x:c r="C6" s="24" t="str">
        <x:v>Jangan mengunci schema menjadi tepat 4 dimensi; buat struktur configurable.</x:v>
      </x:c>
      <x:c r="D6" s="24" t="str">
        <x:v>Needs Confirmation</x:v>
      </x:c>
      <x:c r="E6" s="24" t="str">
        <x:v>Open</x:v>
      </x:c>
      <x:c r="F6" s="24" t="str"/>
    </x:row>
    <x:row r="7">
      <x:c r="A7" s="24" t="str">
        <x:v>Skala indeks</x:v>
      </x:c>
      <x:c r="B7" s="24" t="str">
        <x:v>Mockup visual menampilkan nilai 78,5, kategori BAIK, skala 0-100. Teks proposal tidak menetapkan skala final.</x:v>
      </x:c>
      <x:c r="C7" s="24" t="str">
        <x:v>Perlakukan sebagai mockup, bukan formula final.</x:v>
      </x:c>
      <x:c r="D7" s="24" t="str">
        <x:v>Needs Confirmation</x:v>
      </x:c>
      <x:c r="E7" s="24" t="str">
        <x:v>Open</x:v>
      </x:c>
      <x:c r="F7" s="24" t="str"/>
    </x:row>
    <x:row r="8">
      <x:c r="A8" s="24" t="str">
        <x:v>Jurnal target</x:v>
      </x:c>
      <x:c r="B8" s="24" t="str">
        <x:v>Ringkasan menyebut Malaysian Journal of Public Health Medicine, sedangkan tabel luaran menautkan situs MJMHS UPM.</x:v>
      </x:c>
      <x:c r="C8" s="24" t="str">
        <x:v>Konfirmasi administrasi publikasi; tidak mempengaruhi implementasi inti.</x:v>
      </x:c>
      <x:c r="D8" s="24" t="str">
        <x:v>Needs Confirmation</x:v>
      </x:c>
      <x:c r="E8" s="24" t="str">
        <x:v>Open</x:v>
      </x:c>
      <x:c r="F8" s="24" t="str"/>
    </x:row>
    <x:row r="9">
      <x:c r="A9" s="24" t="str">
        <x:v>Kata kunci</x:v>
      </x:c>
      <x:c r="B9" s="24" t="str">
        <x:v>Petunjuk meminta 5 kata kunci tetapi isi yang terlihat hanya 3.</x:v>
      </x:c>
      <x:c r="C9" s="24" t="str">
        <x:v>Masalah proposal, bukan software.</x:v>
      </x:c>
      <x:c r="D9" s="24" t="str">
        <x:v>Needs Confirmation</x:v>
      </x:c>
      <x:c r="E9" s="24" t="str">
        <x:v>Open</x:v>
      </x:c>
      <x:c r="F9" s="24" t="str"/>
    </x:row>
  </x:sheetData>
  <x:dataValidations count="1">
    <x:dataValidation type="list" sqref="E2:E9">
      <x:formula1>"Open,Confirmed,Resolved,Not Software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834d3009349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56" hidden="0" customWidth="1"/>
    <x:col min="5" max="5" width="48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28" customHeight="1">
      <x:c r="A1" s="16" t="str">
        <x:v>Phase</x:v>
      </x:c>
      <x:c r="B1" s="16" t="str">
        <x:v>Name</x:v>
      </x:c>
      <x:c r="C1" s="16" t="str">
        <x:v>Timing</x:v>
      </x:c>
      <x:c r="D1" s="16" t="str">
        <x:v>Deliverables</x:v>
      </x:c>
      <x:c r="E1" s="16" t="str">
        <x:v>Dependency</x:v>
      </x:c>
      <x:c r="F1" s="16" t="str">
        <x:v>Status</x:v>
      </x:c>
      <x:c r="G1" s="16" t="str">
        <x:v>Owner</x:v>
      </x:c>
      <x:c r="H1" s="16" t="str">
        <x:v>Target / Notes</x:v>
      </x:c>
    </x:row>
    <x:row r="2">
      <x:c r="A2" s="24" t="str">
        <x:v>P0</x:v>
      </x:c>
      <x:c r="B2" s="24" t="str">
        <x:v>Foundation / Scaffolding</x:v>
      </x:c>
      <x:c r="C2" s="24" t="str">
        <x:v>Sekarang</x:v>
      </x:c>
      <x:c r="D2" s="24" t="str">
        <x:v>Repo, env, database migration, autentikasi dasar, role/permission model, audit foundation, admin shell, convention project.</x:v>
      </x:c>
      <x:c r="E2" s="24" t="str">
        <x:v>Tidak memerlukan parameter ilmiah final.</x:v>
      </x:c>
      <x:c r="F2" s="24" t="str">
        <x:v>Not Started</x:v>
      </x:c>
      <x:c r="G2" s="24" t="str"/>
      <x:c r="H2" s="24" t="str"/>
    </x:row>
    <x:row r="3">
      <x:c r="A3" s="24" t="str">
        <x:v>P1</x:v>
      </x:c>
      <x:c r="B3" s="24" t="str">
        <x:v>Configurable Instrument Builder</x:v>
      </x:c>
      <x:c r="C3" s="24" t="str">
        <x:v>Setelah P0</x:v>
      </x:c>
      <x:c r="D3" s="24" t="str">
        <x:v>Instrument/version/dimension/indicator/answer option/recommendation configuration; Draft-Published-Archived lifecycle.</x:v>
      </x:c>
      <x:c r="E3" s="24" t="str">
        <x:v>Dapat dibangun dengan dummy data; jangan publish model ilmiah palsu.</x:v>
      </x:c>
      <x:c r="F3" s="24" t="str">
        <x:v>Not Started</x:v>
      </x:c>
      <x:c r="G3" s="24" t="str"/>
      <x:c r="H3" s="24" t="str"/>
    </x:row>
    <x:row r="4">
      <x:c r="A4" s="24" t="str">
        <x:v>P2</x:v>
      </x:c>
      <x:c r="B4" s="24" t="str">
        <x:v>Assessment Workflow</x:v>
      </x:c>
      <x:c r="C4" s="24" t="str">
        <x:v>Setelah struktur instrumen stabil</x:v>
      </x:c>
      <x:c r="D4" s="24" t="str">
        <x:v>Form generator, save draft, submit/finalize, evidence, history.</x:v>
      </x:c>
      <x:c r="E4" s="24" t="str">
        <x:v>Butuh konfirmasi jenis jawaban dan workflow approval.</x:v>
      </x:c>
      <x:c r="F4" s="24" t="str">
        <x:v>Not Started</x:v>
      </x:c>
      <x:c r="G4" s="24" t="str"/>
      <x:c r="H4" s="24" t="str"/>
    </x:row>
    <x:row r="5">
      <x:c r="A5" s="24" t="str">
        <x:v>P3</x:v>
      </x:c>
      <x:c r="B5" s="24" t="str">
        <x:v>Scoring &amp; Classification Engine</x:v>
      </x:c>
      <x:c r="C5" s="24" t="str">
        <x:v>Setelah parameter penelitian tersedia</x:v>
      </x:c>
      <x:c r="D5" s="24" t="str">
        <x:v>Validasi data, scoring, weighting, index, risk classification.</x:v>
      </x:c>
      <x:c r="E5" s="24" t="str">
        <x:v>Blocker: formula, bobot, threshold, missing-data rules.</x:v>
      </x:c>
      <x:c r="F5" s="24" t="str">
        <x:v>Not Started</x:v>
      </x:c>
      <x:c r="G5" s="24" t="str"/>
      <x:c r="H5" s="24" t="str"/>
    </x:row>
    <x:row r="6">
      <x:c r="A6" s="24" t="str">
        <x:v>P4</x:v>
      </x:c>
      <x:c r="B6" s="24" t="str">
        <x:v>Dashboard &amp; Risk Mapping</x:v>
      </x:c>
      <x:c r="C6" s="24" t="str">
        <x:v>Setelah scoring minimal</x:v>
      </x:c>
      <x:c r="D6" s="24" t="str">
        <x:v>Index, dimensi, tren, distribusi risiko, risk map, rekomendasi prioritas.</x:v>
      </x:c>
      <x:c r="E6" s="24" t="str">
        <x:v>Risk mapping detail masih open.</x:v>
      </x:c>
      <x:c r="F6" s="24" t="str">
        <x:v>Not Started</x:v>
      </x:c>
      <x:c r="G6" s="24" t="str"/>
      <x:c r="H6" s="24" t="str"/>
    </x:row>
    <x:row r="7">
      <x:c r="A7" s="24" t="str">
        <x:v>P5</x:v>
      </x:c>
      <x:c r="B7" s="24" t="str">
        <x:v>Recommendation, Follow-up, Notification</x:v>
      </x:c>
      <x:c r="C7" s="24" t="str">
        <x:v>Setelah rules tersedia</x:v>
      </x:c>
      <x:c r="D7" s="24" t="str">
        <x:v>Recommendation engine, action follow-up, warning/notification.</x:v>
      </x:c>
      <x:c r="E7" s="24" t="str">
        <x:v>Butuh rule resmi dan trigger.</x:v>
      </x:c>
      <x:c r="F7" s="24" t="str">
        <x:v>Not Started</x:v>
      </x:c>
      <x:c r="G7" s="24" t="str"/>
      <x:c r="H7" s="24" t="str"/>
    </x:row>
    <x:row r="8">
      <x:c r="A8" s="24" t="str">
        <x:v>P6</x:v>
      </x:c>
      <x:c r="B8" s="24" t="str">
        <x:v>Reporting &amp; Export</x:v>
      </x:c>
      <x:c r="C8" s="24" t="str">
        <x:v>Setelah hasil stabil</x:v>
      </x:c>
      <x:c r="D8" s="24" t="str">
        <x:v>Laporan evaluasi, PDF/Excel export, metadata versi instrumen.</x:v>
      </x:c>
      <x:c r="E8" s="24" t="str">
        <x:v>Sesuai output visual proposal.</x:v>
      </x:c>
      <x:c r="F8" s="24" t="str">
        <x:v>Not Started</x:v>
      </x:c>
      <x:c r="G8" s="24" t="str"/>
      <x:c r="H8" s="24" t="str"/>
    </x:row>
    <x:row r="9">
      <x:c r="A9" s="24" t="str">
        <x:v>P7</x:v>
      </x:c>
      <x:c r="B9" s="24" t="str">
        <x:v>Validation &amp; Release</x:v>
      </x:c>
      <x:c r="C9" s="24" t="str">
        <x:v>Menjelang uji lapangan</x:v>
      </x:c>
      <x:c r="D9" s="24" t="str">
        <x:v>Functional testing, UAT, validasi lapangan, sensitivity evaluation support, hardening, backup/restore test.</x:v>
      </x:c>
      <x:c r="E9" s="24" t="str">
        <x:v>Sejalan dengan metode proposal.</x:v>
      </x:c>
      <x:c r="F9" s="24" t="str">
        <x:v>Not Started</x:v>
      </x:c>
      <x:c r="G9" s="24" t="str"/>
      <x:c r="H9" s="24" t="str"/>
    </x:row>
  </x:sheetData>
  <x:dataValidations count="1">
    <x:dataValidation type="list" sqref="F2:F9">
      <x:formula1>"Not Started,In 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fd27a39bcc4473"/>
  </x:tableParts>
</x:worksheet>
</file>

<file path=xl/worksheets/sheet8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6" t="str">
        <x:v>No</x:v>
      </x:c>
      <x:c r="B1" s="16" t="str">
        <x:v>Activity</x:v>
      </x:c>
      <x:c r="C1" s="16" t="str">
        <x:v>Month 1</x:v>
      </x:c>
      <x:c r="D1" s="16" t="str">
        <x:v>Month 2</x:v>
      </x:c>
      <x:c r="E1" s="16" t="str">
        <x:v>Month 3</x:v>
      </x:c>
      <x:c r="F1" s="16" t="str">
        <x:v>Month 4</x:v>
      </x:c>
      <x:c r="G1" s="16" t="str">
        <x:v>Month 5</x:v>
      </x:c>
      <x:c r="H1" s="16" t="str">
        <x:v>Month 6</x:v>
      </x:c>
      <x:c r="I1" s="16" t="str">
        <x:v>Month 7</x:v>
      </x:c>
      <x:c r="J1" s="16" t="str">
        <x:v>Month 8</x:v>
      </x:c>
      <x:c r="K1" s="16" t="str">
        <x:v>Month 9</x:v>
      </x:c>
      <x:c r="L1" s="16" t="str">
        <x:v>Month 10</x:v>
      </x:c>
      <x:c r="M1" s="16" t="str">
        <x:v>Month 11</x:v>
      </x:c>
      <x:c r="N1" s="16" t="str">
        <x:v>Month 12</x:v>
      </x:c>
    </x:row>
    <x:row r="2">
      <x:c r="A2" s="24" t="n">
        <x:v>1</x:v>
      </x:c>
      <x:c r="B2" s="24" t="str">
        <x:v>Koordinasi tim peneliti</x:v>
      </x:c>
      <x:c r="C2" s="62" t="str">
        <x:v>✓</x:v>
      </x:c>
      <x:c r="D2" s="62" t="str"/>
      <x:c r="E2" s="62" t="str"/>
      <x:c r="F2" s="62" t="str"/>
      <x:c r="G2" s="62" t="str"/>
      <x:c r="H2" s="62" t="str"/>
      <x:c r="I2" s="62" t="str"/>
      <x:c r="J2" s="62" t="str"/>
      <x:c r="K2" s="62" t="str"/>
      <x:c r="L2" s="62" t="str"/>
      <x:c r="M2" s="62" t="str"/>
      <x:c r="N2" s="62" t="str"/>
    </x:row>
    <x:row r="3">
      <x:c r="A3" s="24" t="n">
        <x:v>2</x:v>
      </x:c>
      <x:c r="B3" s="24" t="str">
        <x:v>Penurunan indikator dari standar &amp; pedoman SAT 1.0</x:v>
      </x:c>
      <x:c r="C3" s="62" t="str"/>
      <x:c r="D3" s="62" t="str">
        <x:v>✓</x:v>
      </x:c>
      <x:c r="E3" s="62" t="str"/>
      <x:c r="F3" s="62" t="str"/>
      <x:c r="G3" s="62" t="str"/>
      <x:c r="H3" s="62" t="str"/>
      <x:c r="I3" s="62" t="str"/>
      <x:c r="J3" s="62" t="str"/>
      <x:c r="K3" s="62" t="str"/>
      <x:c r="L3" s="62" t="str"/>
      <x:c r="M3" s="62" t="str"/>
      <x:c r="N3" s="62" t="str"/>
    </x:row>
    <x:row r="4">
      <x:c r="A4" s="24" t="n">
        <x:v>3</x:v>
      </x:c>
      <x:c r="B4" s="24" t="str">
        <x:v>FGD &amp; validasi pakar indikator</x:v>
      </x:c>
      <x:c r="C4" s="62" t="str"/>
      <x:c r="D4" s="62" t="str">
        <x:v>✓</x:v>
      </x:c>
      <x:c r="E4" s="62" t="str">
        <x:v>✓</x:v>
      </x:c>
      <x:c r="F4" s="62" t="str"/>
      <x:c r="G4" s="62" t="str"/>
      <x:c r="H4" s="62" t="str"/>
      <x:c r="I4" s="62" t="str"/>
      <x:c r="J4" s="62" t="str"/>
      <x:c r="K4" s="62" t="str"/>
      <x:c r="L4" s="62" t="str"/>
      <x:c r="M4" s="62" t="str"/>
      <x:c r="N4" s="62" t="str"/>
    </x:row>
    <x:row r="5">
      <x:c r="A5" s="24" t="n">
        <x:v>4</x:v>
      </x:c>
      <x:c r="B5" s="24" t="str">
        <x:v>Penyusunan instrumen (kuesioner) SAT 2.0</x:v>
      </x:c>
      <x:c r="C5" s="62" t="str"/>
      <x:c r="D5" s="62" t="str"/>
      <x:c r="E5" s="62" t="str">
        <x:v>✓</x:v>
      </x:c>
      <x:c r="F5" s="62" t="str">
        <x:v>✓</x:v>
      </x:c>
      <x:c r="G5" s="62" t="str"/>
      <x:c r="H5" s="62" t="str"/>
      <x:c r="I5" s="62" t="str"/>
      <x:c r="J5" s="62" t="str"/>
      <x:c r="K5" s="62" t="str"/>
      <x:c r="L5" s="62" t="str"/>
      <x:c r="M5" s="62" t="str"/>
      <x:c r="N5" s="62" t="str"/>
    </x:row>
    <x:row r="6">
      <x:c r="A6" s="24" t="n">
        <x:v>5</x:v>
      </x:c>
      <x:c r="B6" s="24" t="str">
        <x:v>Uji validitas isi (CVI)</x:v>
      </x:c>
      <x:c r="C6" s="62" t="str"/>
      <x:c r="D6" s="62" t="str"/>
      <x:c r="E6" s="62" t="str"/>
      <x:c r="F6" s="62" t="str">
        <x:v>✓</x:v>
      </x:c>
      <x:c r="G6" s="62" t="str">
        <x:v>✓</x:v>
      </x:c>
      <x:c r="H6" s="62" t="str"/>
      <x:c r="I6" s="62" t="str"/>
      <x:c r="J6" s="62" t="str"/>
      <x:c r="K6" s="62" t="str"/>
      <x:c r="L6" s="62" t="str"/>
      <x:c r="M6" s="62" t="str"/>
      <x:c r="N6" s="62" t="str"/>
    </x:row>
    <x:row r="7">
      <x:c r="A7" s="24" t="n">
        <x:v>6</x:v>
      </x:c>
      <x:c r="B7" s="24" t="str">
        <x:v>Uji validitas konstruk &amp; reliabilitas</x:v>
      </x:c>
      <x:c r="C7" s="62" t="str"/>
      <x:c r="D7" s="62" t="str"/>
      <x:c r="E7" s="62" t="str"/>
      <x:c r="F7" s="62" t="str"/>
      <x:c r="G7" s="62" t="str">
        <x:v>✓</x:v>
      </x:c>
      <x:c r="H7" s="62" t="str">
        <x:v>✓</x:v>
      </x:c>
      <x:c r="I7" s="62" t="str"/>
      <x:c r="J7" s="62" t="str"/>
      <x:c r="K7" s="62" t="str"/>
      <x:c r="L7" s="62" t="str"/>
      <x:c r="M7" s="62" t="str"/>
      <x:c r="N7" s="62" t="str"/>
    </x:row>
    <x:row r="8">
      <x:c r="A8" s="24" t="n">
        <x:v>7</x:v>
      </x:c>
      <x:c r="B8" s="24" t="str">
        <x:v>Penyusunan indeks keselamatan</x:v>
      </x:c>
      <x:c r="C8" s="62" t="str"/>
      <x:c r="D8" s="62" t="str"/>
      <x:c r="E8" s="62" t="str"/>
      <x:c r="F8" s="62" t="str"/>
      <x:c r="G8" s="62" t="str"/>
      <x:c r="H8" s="62" t="str">
        <x:v>✓</x:v>
      </x:c>
      <x:c r="I8" s="62" t="str">
        <x:v>✓</x:v>
      </x:c>
      <x:c r="J8" s="62" t="str">
        <x:v>✓</x:v>
      </x:c>
      <x:c r="K8" s="62" t="str"/>
      <x:c r="L8" s="62" t="str"/>
      <x:c r="M8" s="62" t="str"/>
      <x:c r="N8" s="62" t="str"/>
    </x:row>
    <x:row r="9">
      <x:c r="A9" s="24" t="n">
        <x:v>8</x:v>
      </x:c>
      <x:c r="B9" s="24" t="str">
        <x:v>Pengembangan sistem digital Smart SAT</x:v>
      </x:c>
      <x:c r="C9" s="62" t="str"/>
      <x:c r="D9" s="62" t="str"/>
      <x:c r="E9" s="62" t="str"/>
      <x:c r="F9" s="62" t="str"/>
      <x:c r="G9" s="62" t="str"/>
      <x:c r="H9" s="62" t="str"/>
      <x:c r="I9" s="62" t="str">
        <x:v>✓</x:v>
      </x:c>
      <x:c r="J9" s="62" t="str">
        <x:v>✓</x:v>
      </x:c>
      <x:c r="K9" s="62" t="str">
        <x:v>✓</x:v>
      </x:c>
      <x:c r="L9" s="62" t="str"/>
      <x:c r="M9" s="62" t="str"/>
      <x:c r="N9" s="62" t="str"/>
    </x:row>
    <x:row r="10">
      <x:c r="A10" s="24" t="n">
        <x:v>9</x:v>
      </x:c>
      <x:c r="B10" s="24" t="str">
        <x:v>Analisis data &amp; interpretasi</x:v>
      </x:c>
      <x:c r="C10" s="62" t="str"/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>
        <x:v>✓</x:v>
      </x:c>
      <x:c r="L10" s="62" t="str">
        <x:v>✓</x:v>
      </x:c>
      <x:c r="M10" s="62" t="str"/>
      <x:c r="N10" s="62" t="str"/>
    </x:row>
    <x:row r="11">
      <x:c r="A11" s="24" t="n">
        <x:v>10</x:v>
      </x:c>
      <x:c r="B11" s="24" t="str">
        <x:v>Penyusunan laporan &amp; publikasi</x:v>
      </x:c>
      <x:c r="C11" s="62" t="str"/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>
        <x:v>✓</x:v>
      </x:c>
      <x:c r="M11" s="62" t="str">
        <x:v>✓</x:v>
      </x:c>
      <x:c r="N11" s="62" t="str">
        <x:v>✓</x:v>
      </x:c>
    </x:row>
  </x:sheetData>
  <x:pageMargins left="0.7" right="0.7" top="0.75" bottom="0.75" header="0.3" footer="0.3"/>
  <x:tableParts count="1">
    <x:tablePart xmlns:r="http://schemas.openxmlformats.org/officeDocument/2006/relationships" r:id="Re2a81461a5c946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58" hidden="0" customWidth="1"/>
    <x:col min="4" max="4" width="18" hidden="0" customWidth="1"/>
    <x:col min="5" max="5" width="22" hidden="0" customWidth="1"/>
  </x:cols>
  <x:sheetData>
    <x:row r="1" ht="28" customHeight="1">
      <x:c r="A1" s="16" t="str">
        <x:v>Source / Page</x:v>
      </x:c>
      <x:c r="B1" s="16" t="str">
        <x:v>Observed content</x:v>
      </x:c>
      <x:c r="C1" s="16" t="str">
        <x:v>Software implication</x:v>
      </x:c>
      <x:c r="D1" s="16" t="str">
        <x:v>Classification</x:v>
      </x:c>
      <x:c r="E1" s="16" t="str">
        <x:v>Needs confirmation?</x:v>
      </x:c>
    </x:row>
    <x:row r="2">
      <x:c r="A2" s="24" t="str">
        <x:v>PDF p.1</x:v>
      </x:c>
      <x:c r="B2" s="24" t="str">
        <x:v>Farrel: membantu dashboard digital, uji coba sistem, data pendukung</x:v>
      </x:c>
      <x:c r="C2" s="24" t="str">
        <x:v>Developer/student scope</x:v>
      </x:c>
      <x:c r="D2" s="24" t="str">
        <x:v>PROPOSAL</x:v>
      </x:c>
      <x:c r="E2" s="24" t="str">
        <x:v>No</x:v>
      </x:c>
    </x:row>
    <x:row r="3">
      <x:c r="A3" s="24" t="str">
        <x:v>PDF p.2</x:v>
      </x:c>
      <x:c r="B3" s="24" t="str">
        <x:v>Target TKT 7 pada identitas</x:v>
      </x:c>
      <x:c r="C3" s="24" t="str">
        <x:v>Potential conflict with 2026 roadmap target</x:v>
      </x:c>
      <x:c r="D3" s="24" t="str">
        <x:v>PROPOSAL</x:v>
      </x:c>
      <x:c r="E3" s="24" t="str">
        <x:v>Yes</x:v>
      </x:c>
    </x:row>
    <x:row r="4">
      <x:c r="A4" s="24" t="str">
        <x:v>PDF p.3</x:v>
      </x:c>
      <x:c r="B4" s="24" t="str">
        <x:v>SAT 1.0 = 4 dimensi, 43 indikator; manual; target digital dashboard</x:v>
      </x:c>
      <x:c r="C4" s="24" t="str">
        <x:v>Instrument/data model + dashboard</x:v>
      </x:c>
      <x:c r="D4" s="24" t="str">
        <x:v>PROPOSAL</x:v>
      </x:c>
      <x:c r="E4" s="24" t="str">
        <x:v>No</x:v>
      </x:c>
    </x:row>
    <x:row r="5">
      <x:c r="A5" s="24" t="str">
        <x:v>PDF p.7</x:v>
      </x:c>
      <x:c r="B5" s="24" t="str">
        <x:v>Roadmap 2026: validasi &amp; digitalisasi; TKT 6</x:v>
      </x:c>
      <x:c r="C5" s="24" t="str">
        <x:v>2026 release should be prototype/validated stage</x:v>
      </x:c>
      <x:c r="D5" s="24" t="str">
        <x:v>VISUAL</x:v>
      </x:c>
      <x:c r="E5" s="24" t="str">
        <x:v>Yes - reconcile TKT</x:v>
      </x:c>
    </x:row>
    <x:row r="6">
      <x:c r="A6" s="24" t="str">
        <x:v>PDF p.8</x:v>
      </x:c>
      <x:c r="B6" s="24" t="str">
        <x:v>5-stage R&amp;D flow + CVI/EFA/CFA/Cronbach/Index</x:v>
      </x:c>
      <x:c r="C6" s="24" t="str">
        <x:v>Separate research validation from runtime scoring</x:v>
      </x:c>
      <x:c r="D6" s="24" t="str">
        <x:v>VISUAL</x:v>
      </x:c>
      <x:c r="E6" s="24" t="str">
        <x:v>No</x:v>
      </x:c>
    </x:row>
    <x:row r="7">
      <x:c r="A7" s="24" t="str">
        <x:v>PDF p.10</x:v>
      </x:c>
      <x:c r="B7" s="24" t="str">
        <x:v>Inputs, dashboard panels, outputs, users, data engine, architecture, security</x:v>
      </x:c>
      <x:c r="C7" s="24" t="str">
        <x:v>Primary software feature/architecture reference</x:v>
      </x:c>
      <x:c r="D7" s="24" t="str">
        <x:v>VISUAL</x:v>
      </x:c>
      <x:c r="E7" s="24" t="str">
        <x:v>Some details</x:v>
      </x:c>
    </x:row>
    <x:row r="8">
      <x:c r="A8" s="24" t="str">
        <x:v>PDF p.11</x:v>
      </x:c>
      <x:c r="B8" s="24" t="str">
        <x:v>Formal development activity at months 7-9</x:v>
      </x:c>
      <x:c r="C8" s="24" t="str">
        <x:v>Scaffolding can begin earlier as engineering recommendation</x:v>
      </x:c>
      <x:c r="D8" s="24" t="str">
        <x:v>VISUAL</x:v>
      </x:c>
      <x:c r="E8" s="24" t="str">
        <x:v>No</x:v>
      </x:c>
    </x:row>
    <x:row r="9">
      <x:c r="A9" s="24" t="str">
        <x:v>Diskusi</x:v>
      </x:c>
      <x:c r="B9" s="24" t="str">
        <x:v>Admin configurable + versioning + published lock + audit</x:v>
      </x:c>
      <x:c r="C9" s="24" t="str">
        <x:v>Admin system design</x:v>
      </x:c>
      <x:c r="D9" s="24" t="str">
        <x:v>DISKUSI</x:v>
      </x:c>
      <x:c r="E9" s="24" t="str">
        <x:v>Needs team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31ab40ab16354d7d"/>
  </x:tableParts>
</x:worksheet>
</file>